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Pichau\Downloads\"/>
    </mc:Choice>
  </mc:AlternateContent>
  <xr:revisionPtr revIDLastSave="0" documentId="13_ncr:1_{5FDB8E90-7417-4020-B6BF-7651BB1121F6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Sheet1" sheetId="1" r:id="rId1"/>
    <sheet name="Tabela Dinâmica" sheetId="8" r:id="rId2"/>
    <sheet name="Planilha8" sheetId="9" r:id="rId3"/>
    <sheet name="Planilha1" sheetId="10" r:id="rId4"/>
  </sheets>
  <definedNames>
    <definedName name="_xlchart.v1.0" hidden="1">Planilha8!$A$13:$A$17</definedName>
    <definedName name="_xlchart.v1.1" hidden="1">Planilha8!$B$12</definedName>
    <definedName name="_xlchart.v1.2" hidden="1">Planilha8!$B$13:$B$17</definedName>
  </definedNames>
  <calcPr calcId="191029"/>
  <pivotCaches>
    <pivotCache cacheId="9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6" roundtripDataChecksum="QodQ+ntR53NLGam+eGu7VxPI2r7Nu2bUtwFX6nwUtF8="/>
    </ext>
  </extLst>
</workbook>
</file>

<file path=xl/calcChain.xml><?xml version="1.0" encoding="utf-8"?>
<calcChain xmlns="http://schemas.openxmlformats.org/spreadsheetml/2006/main">
  <c r="Q2" i="1" l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C8" i="9"/>
  <c r="D8" i="9"/>
  <c r="E8" i="9"/>
  <c r="F8" i="9"/>
  <c r="G8" i="9"/>
  <c r="H8" i="9"/>
  <c r="I8" i="9"/>
  <c r="B8" i="9"/>
  <c r="C7" i="9"/>
  <c r="D7" i="9"/>
  <c r="E7" i="9"/>
  <c r="F7" i="9"/>
  <c r="G7" i="9"/>
  <c r="H7" i="9"/>
  <c r="B7" i="9"/>
  <c r="C5" i="9"/>
  <c r="D5" i="9"/>
  <c r="E5" i="9"/>
  <c r="F5" i="9"/>
  <c r="G5" i="9"/>
  <c r="H5" i="9"/>
  <c r="B5" i="9"/>
  <c r="P2" i="1"/>
  <c r="P13" i="1"/>
  <c r="P14" i="1"/>
  <c r="P25" i="1"/>
  <c r="P26" i="1"/>
  <c r="P37" i="1"/>
  <c r="P38" i="1"/>
  <c r="P49" i="1"/>
  <c r="P50" i="1"/>
  <c r="P61" i="1"/>
  <c r="P62" i="1"/>
  <c r="P73" i="1"/>
  <c r="P74" i="1"/>
  <c r="P85" i="1"/>
  <c r="P86" i="1"/>
  <c r="P97" i="1"/>
  <c r="P98" i="1"/>
  <c r="P109" i="1"/>
  <c r="P110" i="1"/>
  <c r="P121" i="1"/>
  <c r="P122" i="1"/>
  <c r="P133" i="1"/>
  <c r="P134" i="1"/>
  <c r="P145" i="1"/>
  <c r="P146" i="1"/>
  <c r="P157" i="1"/>
  <c r="P158" i="1"/>
  <c r="P169" i="1"/>
  <c r="P170" i="1"/>
  <c r="P181" i="1"/>
  <c r="P182" i="1"/>
  <c r="P193" i="1"/>
  <c r="P194" i="1"/>
  <c r="N47" i="1"/>
  <c r="N59" i="1"/>
  <c r="N191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" i="1"/>
  <c r="J3" i="1"/>
  <c r="P4" i="1" s="1"/>
  <c r="J4" i="1"/>
  <c r="P5" i="1" s="1"/>
  <c r="J5" i="1"/>
  <c r="P6" i="1" s="1"/>
  <c r="J6" i="1"/>
  <c r="P7" i="1" s="1"/>
  <c r="J7" i="1"/>
  <c r="P8" i="1" s="1"/>
  <c r="J8" i="1"/>
  <c r="P9" i="1" s="1"/>
  <c r="J9" i="1"/>
  <c r="P10" i="1" s="1"/>
  <c r="J10" i="1"/>
  <c r="P11" i="1" s="1"/>
  <c r="J11" i="1"/>
  <c r="P12" i="1" s="1"/>
  <c r="J12" i="1"/>
  <c r="J13" i="1"/>
  <c r="J14" i="1"/>
  <c r="P15" i="1" s="1"/>
  <c r="J15" i="1"/>
  <c r="P16" i="1" s="1"/>
  <c r="J16" i="1"/>
  <c r="P17" i="1" s="1"/>
  <c r="J17" i="1"/>
  <c r="P18" i="1" s="1"/>
  <c r="J18" i="1"/>
  <c r="P19" i="1" s="1"/>
  <c r="J19" i="1"/>
  <c r="P20" i="1" s="1"/>
  <c r="J20" i="1"/>
  <c r="P21" i="1" s="1"/>
  <c r="J21" i="1"/>
  <c r="P22" i="1" s="1"/>
  <c r="J22" i="1"/>
  <c r="P23" i="1" s="1"/>
  <c r="J23" i="1"/>
  <c r="P24" i="1" s="1"/>
  <c r="J24" i="1"/>
  <c r="J25" i="1"/>
  <c r="J26" i="1"/>
  <c r="P27" i="1" s="1"/>
  <c r="J27" i="1"/>
  <c r="P28" i="1" s="1"/>
  <c r="J28" i="1"/>
  <c r="P29" i="1" s="1"/>
  <c r="J29" i="1"/>
  <c r="P30" i="1" s="1"/>
  <c r="J30" i="1"/>
  <c r="P31" i="1" s="1"/>
  <c r="J31" i="1"/>
  <c r="P32" i="1" s="1"/>
  <c r="J32" i="1"/>
  <c r="P33" i="1" s="1"/>
  <c r="J33" i="1"/>
  <c r="P34" i="1" s="1"/>
  <c r="J34" i="1"/>
  <c r="P35" i="1" s="1"/>
  <c r="J35" i="1"/>
  <c r="P36" i="1" s="1"/>
  <c r="J36" i="1"/>
  <c r="J37" i="1"/>
  <c r="J38" i="1"/>
  <c r="P39" i="1" s="1"/>
  <c r="J39" i="1"/>
  <c r="P40" i="1" s="1"/>
  <c r="J40" i="1"/>
  <c r="P41" i="1" s="1"/>
  <c r="J41" i="1"/>
  <c r="P42" i="1" s="1"/>
  <c r="J42" i="1"/>
  <c r="P43" i="1" s="1"/>
  <c r="J43" i="1"/>
  <c r="P44" i="1" s="1"/>
  <c r="J44" i="1"/>
  <c r="P45" i="1" s="1"/>
  <c r="J45" i="1"/>
  <c r="P46" i="1" s="1"/>
  <c r="J46" i="1"/>
  <c r="P47" i="1" s="1"/>
  <c r="J47" i="1"/>
  <c r="P48" i="1" s="1"/>
  <c r="J48" i="1"/>
  <c r="J49" i="1"/>
  <c r="J50" i="1"/>
  <c r="P51" i="1" s="1"/>
  <c r="J51" i="1"/>
  <c r="P52" i="1" s="1"/>
  <c r="J52" i="1"/>
  <c r="P53" i="1" s="1"/>
  <c r="J53" i="1"/>
  <c r="P54" i="1" s="1"/>
  <c r="J54" i="1"/>
  <c r="P55" i="1" s="1"/>
  <c r="J55" i="1"/>
  <c r="P56" i="1" s="1"/>
  <c r="J56" i="1"/>
  <c r="P57" i="1" s="1"/>
  <c r="J57" i="1"/>
  <c r="P58" i="1" s="1"/>
  <c r="J58" i="1"/>
  <c r="P59" i="1" s="1"/>
  <c r="J59" i="1"/>
  <c r="P60" i="1" s="1"/>
  <c r="J60" i="1"/>
  <c r="J61" i="1"/>
  <c r="J62" i="1"/>
  <c r="P63" i="1" s="1"/>
  <c r="J63" i="1"/>
  <c r="P64" i="1" s="1"/>
  <c r="J64" i="1"/>
  <c r="P65" i="1" s="1"/>
  <c r="J65" i="1"/>
  <c r="P66" i="1" s="1"/>
  <c r="J66" i="1"/>
  <c r="P67" i="1" s="1"/>
  <c r="J67" i="1"/>
  <c r="P68" i="1" s="1"/>
  <c r="J68" i="1"/>
  <c r="P69" i="1" s="1"/>
  <c r="J69" i="1"/>
  <c r="P70" i="1" s="1"/>
  <c r="J70" i="1"/>
  <c r="P71" i="1" s="1"/>
  <c r="J71" i="1"/>
  <c r="P72" i="1" s="1"/>
  <c r="J72" i="1"/>
  <c r="J73" i="1"/>
  <c r="J74" i="1"/>
  <c r="P75" i="1" s="1"/>
  <c r="J75" i="1"/>
  <c r="P76" i="1" s="1"/>
  <c r="J76" i="1"/>
  <c r="P77" i="1" s="1"/>
  <c r="J77" i="1"/>
  <c r="P78" i="1" s="1"/>
  <c r="J78" i="1"/>
  <c r="P79" i="1" s="1"/>
  <c r="J79" i="1"/>
  <c r="P80" i="1" s="1"/>
  <c r="J80" i="1"/>
  <c r="P81" i="1" s="1"/>
  <c r="J81" i="1"/>
  <c r="P82" i="1" s="1"/>
  <c r="J82" i="1"/>
  <c r="P83" i="1" s="1"/>
  <c r="J83" i="1"/>
  <c r="P84" i="1" s="1"/>
  <c r="J84" i="1"/>
  <c r="J85" i="1"/>
  <c r="J86" i="1"/>
  <c r="P87" i="1" s="1"/>
  <c r="J87" i="1"/>
  <c r="P88" i="1" s="1"/>
  <c r="J88" i="1"/>
  <c r="P89" i="1" s="1"/>
  <c r="J89" i="1"/>
  <c r="P90" i="1" s="1"/>
  <c r="J90" i="1"/>
  <c r="P91" i="1" s="1"/>
  <c r="J91" i="1"/>
  <c r="P92" i="1" s="1"/>
  <c r="J92" i="1"/>
  <c r="P93" i="1" s="1"/>
  <c r="J93" i="1"/>
  <c r="P94" i="1" s="1"/>
  <c r="J94" i="1"/>
  <c r="P95" i="1" s="1"/>
  <c r="J95" i="1"/>
  <c r="P96" i="1" s="1"/>
  <c r="J96" i="1"/>
  <c r="J97" i="1"/>
  <c r="J98" i="1"/>
  <c r="P99" i="1" s="1"/>
  <c r="J99" i="1"/>
  <c r="P100" i="1" s="1"/>
  <c r="J100" i="1"/>
  <c r="P101" i="1" s="1"/>
  <c r="J101" i="1"/>
  <c r="P102" i="1" s="1"/>
  <c r="J102" i="1"/>
  <c r="P103" i="1" s="1"/>
  <c r="J103" i="1"/>
  <c r="P104" i="1" s="1"/>
  <c r="J104" i="1"/>
  <c r="P105" i="1" s="1"/>
  <c r="J105" i="1"/>
  <c r="P106" i="1" s="1"/>
  <c r="J106" i="1"/>
  <c r="P107" i="1" s="1"/>
  <c r="J107" i="1"/>
  <c r="P108" i="1" s="1"/>
  <c r="J108" i="1"/>
  <c r="J109" i="1"/>
  <c r="J110" i="1"/>
  <c r="P111" i="1" s="1"/>
  <c r="J111" i="1"/>
  <c r="P112" i="1" s="1"/>
  <c r="J112" i="1"/>
  <c r="P113" i="1" s="1"/>
  <c r="J113" i="1"/>
  <c r="P114" i="1" s="1"/>
  <c r="J114" i="1"/>
  <c r="P115" i="1" s="1"/>
  <c r="J115" i="1"/>
  <c r="P116" i="1" s="1"/>
  <c r="J116" i="1"/>
  <c r="P117" i="1" s="1"/>
  <c r="J117" i="1"/>
  <c r="P118" i="1" s="1"/>
  <c r="J118" i="1"/>
  <c r="P119" i="1" s="1"/>
  <c r="J119" i="1"/>
  <c r="P120" i="1" s="1"/>
  <c r="J120" i="1"/>
  <c r="J121" i="1"/>
  <c r="J122" i="1"/>
  <c r="P123" i="1" s="1"/>
  <c r="J123" i="1"/>
  <c r="P124" i="1" s="1"/>
  <c r="J124" i="1"/>
  <c r="P125" i="1" s="1"/>
  <c r="J125" i="1"/>
  <c r="P126" i="1" s="1"/>
  <c r="J126" i="1"/>
  <c r="P127" i="1" s="1"/>
  <c r="J127" i="1"/>
  <c r="P128" i="1" s="1"/>
  <c r="J128" i="1"/>
  <c r="P129" i="1" s="1"/>
  <c r="J129" i="1"/>
  <c r="P130" i="1" s="1"/>
  <c r="J130" i="1"/>
  <c r="P131" i="1" s="1"/>
  <c r="J131" i="1"/>
  <c r="P132" i="1" s="1"/>
  <c r="J132" i="1"/>
  <c r="J133" i="1"/>
  <c r="J134" i="1"/>
  <c r="P135" i="1" s="1"/>
  <c r="J135" i="1"/>
  <c r="P136" i="1" s="1"/>
  <c r="J136" i="1"/>
  <c r="P137" i="1" s="1"/>
  <c r="J137" i="1"/>
  <c r="P138" i="1" s="1"/>
  <c r="J138" i="1"/>
  <c r="P139" i="1" s="1"/>
  <c r="J139" i="1"/>
  <c r="P140" i="1" s="1"/>
  <c r="J140" i="1"/>
  <c r="P141" i="1" s="1"/>
  <c r="J141" i="1"/>
  <c r="P142" i="1" s="1"/>
  <c r="J142" i="1"/>
  <c r="P143" i="1" s="1"/>
  <c r="J143" i="1"/>
  <c r="P144" i="1" s="1"/>
  <c r="J144" i="1"/>
  <c r="J145" i="1"/>
  <c r="J146" i="1"/>
  <c r="P147" i="1" s="1"/>
  <c r="J147" i="1"/>
  <c r="P148" i="1" s="1"/>
  <c r="J148" i="1"/>
  <c r="P149" i="1" s="1"/>
  <c r="J149" i="1"/>
  <c r="P150" i="1" s="1"/>
  <c r="J150" i="1"/>
  <c r="P151" i="1" s="1"/>
  <c r="J151" i="1"/>
  <c r="P152" i="1" s="1"/>
  <c r="J152" i="1"/>
  <c r="P153" i="1" s="1"/>
  <c r="J153" i="1"/>
  <c r="P154" i="1" s="1"/>
  <c r="J154" i="1"/>
  <c r="P155" i="1" s="1"/>
  <c r="J155" i="1"/>
  <c r="P156" i="1" s="1"/>
  <c r="J156" i="1"/>
  <c r="J157" i="1"/>
  <c r="J158" i="1"/>
  <c r="P159" i="1" s="1"/>
  <c r="J159" i="1"/>
  <c r="P160" i="1" s="1"/>
  <c r="J160" i="1"/>
  <c r="P161" i="1" s="1"/>
  <c r="J161" i="1"/>
  <c r="P162" i="1" s="1"/>
  <c r="J162" i="1"/>
  <c r="P163" i="1" s="1"/>
  <c r="J163" i="1"/>
  <c r="P164" i="1" s="1"/>
  <c r="J164" i="1"/>
  <c r="P165" i="1" s="1"/>
  <c r="J165" i="1"/>
  <c r="P166" i="1" s="1"/>
  <c r="J166" i="1"/>
  <c r="P167" i="1" s="1"/>
  <c r="J167" i="1"/>
  <c r="P168" i="1" s="1"/>
  <c r="J168" i="1"/>
  <c r="J169" i="1"/>
  <c r="J170" i="1"/>
  <c r="P171" i="1" s="1"/>
  <c r="J171" i="1"/>
  <c r="P172" i="1" s="1"/>
  <c r="J172" i="1"/>
  <c r="P173" i="1" s="1"/>
  <c r="J173" i="1"/>
  <c r="P174" i="1" s="1"/>
  <c r="J174" i="1"/>
  <c r="P175" i="1" s="1"/>
  <c r="J175" i="1"/>
  <c r="P176" i="1" s="1"/>
  <c r="J176" i="1"/>
  <c r="P177" i="1" s="1"/>
  <c r="J177" i="1"/>
  <c r="P178" i="1" s="1"/>
  <c r="J178" i="1"/>
  <c r="P179" i="1" s="1"/>
  <c r="J179" i="1"/>
  <c r="P180" i="1" s="1"/>
  <c r="J180" i="1"/>
  <c r="J181" i="1"/>
  <c r="J182" i="1"/>
  <c r="P183" i="1" s="1"/>
  <c r="J183" i="1"/>
  <c r="P184" i="1" s="1"/>
  <c r="J184" i="1"/>
  <c r="P185" i="1" s="1"/>
  <c r="J185" i="1"/>
  <c r="P186" i="1" s="1"/>
  <c r="J186" i="1"/>
  <c r="P187" i="1" s="1"/>
  <c r="J187" i="1"/>
  <c r="P188" i="1" s="1"/>
  <c r="J188" i="1"/>
  <c r="P189" i="1" s="1"/>
  <c r="J189" i="1"/>
  <c r="P190" i="1" s="1"/>
  <c r="J190" i="1"/>
  <c r="P191" i="1" s="1"/>
  <c r="J191" i="1"/>
  <c r="P192" i="1" s="1"/>
  <c r="J192" i="1"/>
  <c r="J193" i="1"/>
  <c r="J194" i="1"/>
  <c r="P195" i="1" s="1"/>
  <c r="J195" i="1"/>
  <c r="P196" i="1" s="1"/>
  <c r="J196" i="1"/>
  <c r="P197" i="1" s="1"/>
  <c r="J197" i="1"/>
  <c r="P198" i="1" s="1"/>
  <c r="J198" i="1"/>
  <c r="P199" i="1" s="1"/>
  <c r="J199" i="1"/>
  <c r="P200" i="1" s="1"/>
  <c r="J200" i="1"/>
  <c r="P201" i="1" s="1"/>
  <c r="J201" i="1"/>
  <c r="J2" i="1"/>
  <c r="P3" i="1" s="1"/>
  <c r="I3" i="1"/>
  <c r="O3" i="1" s="1"/>
  <c r="I4" i="1"/>
  <c r="O4" i="1" s="1"/>
  <c r="I5" i="1"/>
  <c r="O5" i="1" s="1"/>
  <c r="I6" i="1"/>
  <c r="O6" i="1" s="1"/>
  <c r="I7" i="1"/>
  <c r="N7" i="1" s="1"/>
  <c r="I8" i="1"/>
  <c r="N8" i="1" s="1"/>
  <c r="I9" i="1"/>
  <c r="N9" i="1" s="1"/>
  <c r="I10" i="1"/>
  <c r="N10" i="1" s="1"/>
  <c r="I11" i="1"/>
  <c r="O11" i="1" s="1"/>
  <c r="I12" i="1"/>
  <c r="N12" i="1" s="1"/>
  <c r="I13" i="1"/>
  <c r="N13" i="1" s="1"/>
  <c r="I14" i="1"/>
  <c r="N14" i="1" s="1"/>
  <c r="I15" i="1"/>
  <c r="O15" i="1" s="1"/>
  <c r="I16" i="1"/>
  <c r="O16" i="1" s="1"/>
  <c r="I17" i="1"/>
  <c r="O17" i="1" s="1"/>
  <c r="I18" i="1"/>
  <c r="O18" i="1" s="1"/>
  <c r="I19" i="1"/>
  <c r="N19" i="1" s="1"/>
  <c r="I20" i="1"/>
  <c r="N20" i="1" s="1"/>
  <c r="I21" i="1"/>
  <c r="N21" i="1" s="1"/>
  <c r="I22" i="1"/>
  <c r="N22" i="1" s="1"/>
  <c r="I23" i="1"/>
  <c r="O23" i="1" s="1"/>
  <c r="I24" i="1"/>
  <c r="N24" i="1" s="1"/>
  <c r="I25" i="1"/>
  <c r="N25" i="1" s="1"/>
  <c r="I26" i="1"/>
  <c r="N26" i="1" s="1"/>
  <c r="I27" i="1"/>
  <c r="O27" i="1" s="1"/>
  <c r="I28" i="1"/>
  <c r="O28" i="1" s="1"/>
  <c r="I29" i="1"/>
  <c r="O29" i="1" s="1"/>
  <c r="I30" i="1"/>
  <c r="O30" i="1" s="1"/>
  <c r="I31" i="1"/>
  <c r="N31" i="1" s="1"/>
  <c r="I32" i="1"/>
  <c r="N32" i="1" s="1"/>
  <c r="I33" i="1"/>
  <c r="N33" i="1" s="1"/>
  <c r="I34" i="1"/>
  <c r="N34" i="1" s="1"/>
  <c r="I35" i="1"/>
  <c r="O35" i="1" s="1"/>
  <c r="I36" i="1"/>
  <c r="N36" i="1" s="1"/>
  <c r="I37" i="1"/>
  <c r="N37" i="1" s="1"/>
  <c r="I38" i="1"/>
  <c r="N38" i="1" s="1"/>
  <c r="I39" i="1"/>
  <c r="O39" i="1" s="1"/>
  <c r="I40" i="1"/>
  <c r="O40" i="1" s="1"/>
  <c r="I41" i="1"/>
  <c r="O41" i="1" s="1"/>
  <c r="I42" i="1"/>
  <c r="O42" i="1" s="1"/>
  <c r="I43" i="1"/>
  <c r="N43" i="1" s="1"/>
  <c r="I44" i="1"/>
  <c r="N44" i="1" s="1"/>
  <c r="I45" i="1"/>
  <c r="N45" i="1" s="1"/>
  <c r="I46" i="1"/>
  <c r="N46" i="1" s="1"/>
  <c r="I47" i="1"/>
  <c r="O47" i="1" s="1"/>
  <c r="I48" i="1"/>
  <c r="N48" i="1" s="1"/>
  <c r="I49" i="1"/>
  <c r="N49" i="1" s="1"/>
  <c r="I50" i="1"/>
  <c r="N50" i="1" s="1"/>
  <c r="I51" i="1"/>
  <c r="O51" i="1" s="1"/>
  <c r="I52" i="1"/>
  <c r="O52" i="1" s="1"/>
  <c r="I53" i="1"/>
  <c r="O53" i="1" s="1"/>
  <c r="I54" i="1"/>
  <c r="O54" i="1" s="1"/>
  <c r="I55" i="1"/>
  <c r="N55" i="1" s="1"/>
  <c r="I56" i="1"/>
  <c r="N56" i="1" s="1"/>
  <c r="I57" i="1"/>
  <c r="N57" i="1" s="1"/>
  <c r="I58" i="1"/>
  <c r="N58" i="1" s="1"/>
  <c r="I59" i="1"/>
  <c r="O59" i="1" s="1"/>
  <c r="I60" i="1"/>
  <c r="N60" i="1" s="1"/>
  <c r="I61" i="1"/>
  <c r="N61" i="1" s="1"/>
  <c r="I62" i="1"/>
  <c r="N62" i="1" s="1"/>
  <c r="I63" i="1"/>
  <c r="O63" i="1" s="1"/>
  <c r="I64" i="1"/>
  <c r="O64" i="1" s="1"/>
  <c r="I65" i="1"/>
  <c r="O65" i="1" s="1"/>
  <c r="I66" i="1"/>
  <c r="O66" i="1" s="1"/>
  <c r="I67" i="1"/>
  <c r="N67" i="1" s="1"/>
  <c r="I68" i="1"/>
  <c r="N68" i="1" s="1"/>
  <c r="I69" i="1"/>
  <c r="N69" i="1" s="1"/>
  <c r="I70" i="1"/>
  <c r="N70" i="1" s="1"/>
  <c r="I71" i="1"/>
  <c r="O71" i="1" s="1"/>
  <c r="I72" i="1"/>
  <c r="N72" i="1" s="1"/>
  <c r="I73" i="1"/>
  <c r="N73" i="1" s="1"/>
  <c r="I74" i="1"/>
  <c r="N74" i="1" s="1"/>
  <c r="I75" i="1"/>
  <c r="O75" i="1" s="1"/>
  <c r="I76" i="1"/>
  <c r="O76" i="1" s="1"/>
  <c r="I77" i="1"/>
  <c r="O77" i="1" s="1"/>
  <c r="I78" i="1"/>
  <c r="O78" i="1" s="1"/>
  <c r="I79" i="1"/>
  <c r="N79" i="1" s="1"/>
  <c r="I80" i="1"/>
  <c r="N80" i="1" s="1"/>
  <c r="I81" i="1"/>
  <c r="N81" i="1" s="1"/>
  <c r="I82" i="1"/>
  <c r="N82" i="1" s="1"/>
  <c r="I83" i="1"/>
  <c r="O83" i="1" s="1"/>
  <c r="I84" i="1"/>
  <c r="N84" i="1" s="1"/>
  <c r="I85" i="1"/>
  <c r="N85" i="1" s="1"/>
  <c r="I86" i="1"/>
  <c r="N86" i="1" s="1"/>
  <c r="I87" i="1"/>
  <c r="O87" i="1" s="1"/>
  <c r="I88" i="1"/>
  <c r="O88" i="1" s="1"/>
  <c r="I89" i="1"/>
  <c r="O89" i="1" s="1"/>
  <c r="I90" i="1"/>
  <c r="O90" i="1" s="1"/>
  <c r="I91" i="1"/>
  <c r="N91" i="1" s="1"/>
  <c r="I92" i="1"/>
  <c r="N92" i="1" s="1"/>
  <c r="I93" i="1"/>
  <c r="N93" i="1" s="1"/>
  <c r="I94" i="1"/>
  <c r="N94" i="1" s="1"/>
  <c r="I95" i="1"/>
  <c r="O95" i="1" s="1"/>
  <c r="I96" i="1"/>
  <c r="N96" i="1" s="1"/>
  <c r="I97" i="1"/>
  <c r="N97" i="1" s="1"/>
  <c r="I98" i="1"/>
  <c r="N98" i="1" s="1"/>
  <c r="I99" i="1"/>
  <c r="O99" i="1" s="1"/>
  <c r="I100" i="1"/>
  <c r="O100" i="1" s="1"/>
  <c r="I101" i="1"/>
  <c r="O101" i="1" s="1"/>
  <c r="I102" i="1"/>
  <c r="O102" i="1" s="1"/>
  <c r="I103" i="1"/>
  <c r="N103" i="1" s="1"/>
  <c r="I104" i="1"/>
  <c r="N104" i="1" s="1"/>
  <c r="I105" i="1"/>
  <c r="N105" i="1" s="1"/>
  <c r="I106" i="1"/>
  <c r="N106" i="1" s="1"/>
  <c r="I107" i="1"/>
  <c r="O107" i="1" s="1"/>
  <c r="I108" i="1"/>
  <c r="N108" i="1" s="1"/>
  <c r="I109" i="1"/>
  <c r="N109" i="1" s="1"/>
  <c r="I110" i="1"/>
  <c r="N110" i="1" s="1"/>
  <c r="I111" i="1"/>
  <c r="O111" i="1" s="1"/>
  <c r="I112" i="1"/>
  <c r="O112" i="1" s="1"/>
  <c r="I113" i="1"/>
  <c r="O113" i="1" s="1"/>
  <c r="I114" i="1"/>
  <c r="O114" i="1" s="1"/>
  <c r="I115" i="1"/>
  <c r="N115" i="1" s="1"/>
  <c r="I116" i="1"/>
  <c r="N116" i="1" s="1"/>
  <c r="I117" i="1"/>
  <c r="N117" i="1" s="1"/>
  <c r="I118" i="1"/>
  <c r="N118" i="1" s="1"/>
  <c r="I119" i="1"/>
  <c r="O119" i="1" s="1"/>
  <c r="I120" i="1"/>
  <c r="N120" i="1" s="1"/>
  <c r="I121" i="1"/>
  <c r="N121" i="1" s="1"/>
  <c r="I122" i="1"/>
  <c r="N122" i="1" s="1"/>
  <c r="I123" i="1"/>
  <c r="O123" i="1" s="1"/>
  <c r="I124" i="1"/>
  <c r="O124" i="1" s="1"/>
  <c r="I125" i="1"/>
  <c r="O125" i="1" s="1"/>
  <c r="I126" i="1"/>
  <c r="O126" i="1" s="1"/>
  <c r="I127" i="1"/>
  <c r="N127" i="1" s="1"/>
  <c r="I128" i="1"/>
  <c r="N128" i="1" s="1"/>
  <c r="I129" i="1"/>
  <c r="N129" i="1" s="1"/>
  <c r="I130" i="1"/>
  <c r="N130" i="1" s="1"/>
  <c r="I131" i="1"/>
  <c r="O131" i="1" s="1"/>
  <c r="I132" i="1"/>
  <c r="N132" i="1" s="1"/>
  <c r="I133" i="1"/>
  <c r="N133" i="1" s="1"/>
  <c r="I134" i="1"/>
  <c r="N134" i="1" s="1"/>
  <c r="I135" i="1"/>
  <c r="O135" i="1" s="1"/>
  <c r="I136" i="1"/>
  <c r="O136" i="1" s="1"/>
  <c r="I137" i="1"/>
  <c r="O137" i="1" s="1"/>
  <c r="I138" i="1"/>
  <c r="O138" i="1" s="1"/>
  <c r="I139" i="1"/>
  <c r="N139" i="1" s="1"/>
  <c r="I140" i="1"/>
  <c r="N140" i="1" s="1"/>
  <c r="I141" i="1"/>
  <c r="N141" i="1" s="1"/>
  <c r="I142" i="1"/>
  <c r="N142" i="1" s="1"/>
  <c r="I143" i="1"/>
  <c r="O143" i="1" s="1"/>
  <c r="I144" i="1"/>
  <c r="N144" i="1" s="1"/>
  <c r="I145" i="1"/>
  <c r="N145" i="1" s="1"/>
  <c r="I146" i="1"/>
  <c r="N146" i="1" s="1"/>
  <c r="I147" i="1"/>
  <c r="O147" i="1" s="1"/>
  <c r="I148" i="1"/>
  <c r="O148" i="1" s="1"/>
  <c r="I149" i="1"/>
  <c r="O149" i="1" s="1"/>
  <c r="I150" i="1"/>
  <c r="O150" i="1" s="1"/>
  <c r="I151" i="1"/>
  <c r="N151" i="1" s="1"/>
  <c r="I152" i="1"/>
  <c r="N152" i="1" s="1"/>
  <c r="I153" i="1"/>
  <c r="N153" i="1" s="1"/>
  <c r="I154" i="1"/>
  <c r="N154" i="1" s="1"/>
  <c r="I155" i="1"/>
  <c r="O155" i="1" s="1"/>
  <c r="I156" i="1"/>
  <c r="N156" i="1" s="1"/>
  <c r="I157" i="1"/>
  <c r="N157" i="1" s="1"/>
  <c r="I158" i="1"/>
  <c r="N158" i="1" s="1"/>
  <c r="I159" i="1"/>
  <c r="O159" i="1" s="1"/>
  <c r="I160" i="1"/>
  <c r="O160" i="1" s="1"/>
  <c r="I161" i="1"/>
  <c r="O161" i="1" s="1"/>
  <c r="I162" i="1"/>
  <c r="O162" i="1" s="1"/>
  <c r="I163" i="1"/>
  <c r="N163" i="1" s="1"/>
  <c r="I164" i="1"/>
  <c r="N164" i="1" s="1"/>
  <c r="I165" i="1"/>
  <c r="N165" i="1" s="1"/>
  <c r="I166" i="1"/>
  <c r="N166" i="1" s="1"/>
  <c r="I167" i="1"/>
  <c r="O167" i="1" s="1"/>
  <c r="I168" i="1"/>
  <c r="N168" i="1" s="1"/>
  <c r="I169" i="1"/>
  <c r="N169" i="1" s="1"/>
  <c r="I170" i="1"/>
  <c r="N170" i="1" s="1"/>
  <c r="I171" i="1"/>
  <c r="O171" i="1" s="1"/>
  <c r="I172" i="1"/>
  <c r="O172" i="1" s="1"/>
  <c r="I173" i="1"/>
  <c r="O173" i="1" s="1"/>
  <c r="I174" i="1"/>
  <c r="O174" i="1" s="1"/>
  <c r="I175" i="1"/>
  <c r="N175" i="1" s="1"/>
  <c r="I176" i="1"/>
  <c r="N176" i="1" s="1"/>
  <c r="I177" i="1"/>
  <c r="N177" i="1" s="1"/>
  <c r="I178" i="1"/>
  <c r="N178" i="1" s="1"/>
  <c r="I179" i="1"/>
  <c r="O179" i="1" s="1"/>
  <c r="I180" i="1"/>
  <c r="N180" i="1" s="1"/>
  <c r="I181" i="1"/>
  <c r="N181" i="1" s="1"/>
  <c r="I182" i="1"/>
  <c r="N182" i="1" s="1"/>
  <c r="I183" i="1"/>
  <c r="O183" i="1" s="1"/>
  <c r="I184" i="1"/>
  <c r="O184" i="1" s="1"/>
  <c r="I185" i="1"/>
  <c r="O185" i="1" s="1"/>
  <c r="I186" i="1"/>
  <c r="O186" i="1" s="1"/>
  <c r="I187" i="1"/>
  <c r="N187" i="1" s="1"/>
  <c r="I188" i="1"/>
  <c r="N188" i="1" s="1"/>
  <c r="I189" i="1"/>
  <c r="N189" i="1" s="1"/>
  <c r="I190" i="1"/>
  <c r="N190" i="1" s="1"/>
  <c r="I191" i="1"/>
  <c r="O191" i="1" s="1"/>
  <c r="I192" i="1"/>
  <c r="N192" i="1" s="1"/>
  <c r="I193" i="1"/>
  <c r="N193" i="1" s="1"/>
  <c r="I194" i="1"/>
  <c r="N194" i="1" s="1"/>
  <c r="I195" i="1"/>
  <c r="O195" i="1" s="1"/>
  <c r="I196" i="1"/>
  <c r="O196" i="1" s="1"/>
  <c r="I197" i="1"/>
  <c r="O197" i="1" s="1"/>
  <c r="I198" i="1"/>
  <c r="O198" i="1" s="1"/>
  <c r="I199" i="1"/>
  <c r="N199" i="1" s="1"/>
  <c r="I200" i="1"/>
  <c r="N200" i="1" s="1"/>
  <c r="I201" i="1"/>
  <c r="N201" i="1" s="1"/>
  <c r="I2" i="1"/>
  <c r="N2" i="1" s="1"/>
  <c r="N179" i="1" l="1"/>
  <c r="N35" i="1"/>
  <c r="N167" i="1"/>
  <c r="N23" i="1"/>
  <c r="N155" i="1"/>
  <c r="N11" i="1"/>
  <c r="N143" i="1"/>
  <c r="N131" i="1"/>
  <c r="N119" i="1"/>
  <c r="N107" i="1"/>
  <c r="N95" i="1"/>
  <c r="N83" i="1"/>
  <c r="N71" i="1"/>
  <c r="O199" i="1"/>
  <c r="O151" i="1"/>
  <c r="O31" i="1"/>
  <c r="N198" i="1"/>
  <c r="N186" i="1"/>
  <c r="N174" i="1"/>
  <c r="N162" i="1"/>
  <c r="N150" i="1"/>
  <c r="N138" i="1"/>
  <c r="N126" i="1"/>
  <c r="N114" i="1"/>
  <c r="N102" i="1"/>
  <c r="N90" i="1"/>
  <c r="N78" i="1"/>
  <c r="N66" i="1"/>
  <c r="N54" i="1"/>
  <c r="N42" i="1"/>
  <c r="N30" i="1"/>
  <c r="N18" i="1"/>
  <c r="N6" i="1"/>
  <c r="O194" i="1"/>
  <c r="O182" i="1"/>
  <c r="O170" i="1"/>
  <c r="O158" i="1"/>
  <c r="O146" i="1"/>
  <c r="O134" i="1"/>
  <c r="O122" i="1"/>
  <c r="O110" i="1"/>
  <c r="O98" i="1"/>
  <c r="O86" i="1"/>
  <c r="O74" i="1"/>
  <c r="O62" i="1"/>
  <c r="O50" i="1"/>
  <c r="O38" i="1"/>
  <c r="O26" i="1"/>
  <c r="O14" i="1"/>
  <c r="O19" i="1"/>
  <c r="N197" i="1"/>
  <c r="N185" i="1"/>
  <c r="N173" i="1"/>
  <c r="N161" i="1"/>
  <c r="N149" i="1"/>
  <c r="N137" i="1"/>
  <c r="N125" i="1"/>
  <c r="N113" i="1"/>
  <c r="N101" i="1"/>
  <c r="N89" i="1"/>
  <c r="N77" i="1"/>
  <c r="N65" i="1"/>
  <c r="N53" i="1"/>
  <c r="N41" i="1"/>
  <c r="N29" i="1"/>
  <c r="N17" i="1"/>
  <c r="N5" i="1"/>
  <c r="O193" i="1"/>
  <c r="O181" i="1"/>
  <c r="O169" i="1"/>
  <c r="O157" i="1"/>
  <c r="O145" i="1"/>
  <c r="O133" i="1"/>
  <c r="O121" i="1"/>
  <c r="O109" i="1"/>
  <c r="O97" i="1"/>
  <c r="O85" i="1"/>
  <c r="O73" i="1"/>
  <c r="O61" i="1"/>
  <c r="O49" i="1"/>
  <c r="O37" i="1"/>
  <c r="O25" i="1"/>
  <c r="O13" i="1"/>
  <c r="O163" i="1"/>
  <c r="O7" i="1"/>
  <c r="N196" i="1"/>
  <c r="N184" i="1"/>
  <c r="N172" i="1"/>
  <c r="N160" i="1"/>
  <c r="N148" i="1"/>
  <c r="N136" i="1"/>
  <c r="N124" i="1"/>
  <c r="N112" i="1"/>
  <c r="N100" i="1"/>
  <c r="N88" i="1"/>
  <c r="N76" i="1"/>
  <c r="N64" i="1"/>
  <c r="N52" i="1"/>
  <c r="N40" i="1"/>
  <c r="N28" i="1"/>
  <c r="N16" i="1"/>
  <c r="N4" i="1"/>
  <c r="O192" i="1"/>
  <c r="O180" i="1"/>
  <c r="O168" i="1"/>
  <c r="O156" i="1"/>
  <c r="O144" i="1"/>
  <c r="O132" i="1"/>
  <c r="O120" i="1"/>
  <c r="O108" i="1"/>
  <c r="O96" i="1"/>
  <c r="O84" i="1"/>
  <c r="O72" i="1"/>
  <c r="O60" i="1"/>
  <c r="O48" i="1"/>
  <c r="O36" i="1"/>
  <c r="O24" i="1"/>
  <c r="O12" i="1"/>
  <c r="O91" i="1"/>
  <c r="N195" i="1"/>
  <c r="N183" i="1"/>
  <c r="N171" i="1"/>
  <c r="N159" i="1"/>
  <c r="N147" i="1"/>
  <c r="N135" i="1"/>
  <c r="N123" i="1"/>
  <c r="N111" i="1"/>
  <c r="N99" i="1"/>
  <c r="N87" i="1"/>
  <c r="N75" i="1"/>
  <c r="N63" i="1"/>
  <c r="N51" i="1"/>
  <c r="N39" i="1"/>
  <c r="N27" i="1"/>
  <c r="N15" i="1"/>
  <c r="N3" i="1"/>
  <c r="O103" i="1"/>
  <c r="O2" i="1"/>
  <c r="O190" i="1"/>
  <c r="O178" i="1"/>
  <c r="O166" i="1"/>
  <c r="O154" i="1"/>
  <c r="O142" i="1"/>
  <c r="O130" i="1"/>
  <c r="O118" i="1"/>
  <c r="O106" i="1"/>
  <c r="O94" i="1"/>
  <c r="O82" i="1"/>
  <c r="O70" i="1"/>
  <c r="O58" i="1"/>
  <c r="O46" i="1"/>
  <c r="O34" i="1"/>
  <c r="O22" i="1"/>
  <c r="O10" i="1"/>
  <c r="O115" i="1"/>
  <c r="O201" i="1"/>
  <c r="O189" i="1"/>
  <c r="O177" i="1"/>
  <c r="O165" i="1"/>
  <c r="O153" i="1"/>
  <c r="O141" i="1"/>
  <c r="O129" i="1"/>
  <c r="O117" i="1"/>
  <c r="O105" i="1"/>
  <c r="O93" i="1"/>
  <c r="O81" i="1"/>
  <c r="O69" i="1"/>
  <c r="O57" i="1"/>
  <c r="O45" i="1"/>
  <c r="O33" i="1"/>
  <c r="O21" i="1"/>
  <c r="O9" i="1"/>
  <c r="O127" i="1"/>
  <c r="O200" i="1"/>
  <c r="O188" i="1"/>
  <c r="O176" i="1"/>
  <c r="O164" i="1"/>
  <c r="O152" i="1"/>
  <c r="O140" i="1"/>
  <c r="O128" i="1"/>
  <c r="O116" i="1"/>
  <c r="O104" i="1"/>
  <c r="O92" i="1"/>
  <c r="O80" i="1"/>
  <c r="O68" i="1"/>
  <c r="O56" i="1"/>
  <c r="O44" i="1"/>
  <c r="O32" i="1"/>
  <c r="O20" i="1"/>
  <c r="O8" i="1"/>
  <c r="O187" i="1"/>
  <c r="O175" i="1"/>
  <c r="O139" i="1"/>
  <c r="O55" i="1"/>
  <c r="O43" i="1"/>
  <c r="O67" i="1"/>
  <c r="O79" i="1"/>
</calcChain>
</file>

<file path=xl/sharedStrings.xml><?xml version="1.0" encoding="utf-8"?>
<sst xmlns="http://schemas.openxmlformats.org/spreadsheetml/2006/main" count="956" uniqueCount="325">
  <si>
    <t>Data da Venda</t>
  </si>
  <si>
    <t>ID do Cliente</t>
  </si>
  <si>
    <t>Nome do Cliente</t>
  </si>
  <si>
    <t>Estado</t>
  </si>
  <si>
    <t>Quantidade</t>
  </si>
  <si>
    <t>Preço Unitário</t>
  </si>
  <si>
    <t>Total da Venda</t>
  </si>
  <si>
    <t>Brenda Monteiro</t>
  </si>
  <si>
    <t>RS</t>
  </si>
  <si>
    <t>Eletrônicos</t>
  </si>
  <si>
    <t>Tablet</t>
  </si>
  <si>
    <t>Nathan Mendes</t>
  </si>
  <si>
    <t>PR</t>
  </si>
  <si>
    <t>Alimentos</t>
  </si>
  <si>
    <t>Café</t>
  </si>
  <si>
    <t>Dra. Mariana da Paz</t>
  </si>
  <si>
    <t>BA</t>
  </si>
  <si>
    <t>Leite</t>
  </si>
  <si>
    <t>Pedro das Neves</t>
  </si>
  <si>
    <t>Brinquedos</t>
  </si>
  <si>
    <t>Jogo de Tabuleiro</t>
  </si>
  <si>
    <t>Dr. João Miguel Oliveira</t>
  </si>
  <si>
    <t>SP</t>
  </si>
  <si>
    <t>Bola</t>
  </si>
  <si>
    <t>Sr. Breno Farias</t>
  </si>
  <si>
    <t>Monitor</t>
  </si>
  <si>
    <t>Emanuel Costela</t>
  </si>
  <si>
    <t>RJ</t>
  </si>
  <si>
    <t>Notebook</t>
  </si>
  <si>
    <t>Marcela Rezende</t>
  </si>
  <si>
    <t>Feijão</t>
  </si>
  <si>
    <t>Srta. Brenda Cunha</t>
  </si>
  <si>
    <t>Quebra-Cabeça</t>
  </si>
  <si>
    <t>Alícia da Cunha</t>
  </si>
  <si>
    <t>Davi Luiz da Cunha</t>
  </si>
  <si>
    <t>Camila Cardoso</t>
  </si>
  <si>
    <t>Dr. Anthony Pires</t>
  </si>
  <si>
    <t>PE</t>
  </si>
  <si>
    <t>Vitor Ribeiro</t>
  </si>
  <si>
    <t>Maitê da Cruz</t>
  </si>
  <si>
    <t>Vestuário</t>
  </si>
  <si>
    <t>Calça Jeans</t>
  </si>
  <si>
    <t>Maria Clara Caldeira</t>
  </si>
  <si>
    <t>Fone de Ouvido</t>
  </si>
  <si>
    <t>Sofia Mendes</t>
  </si>
  <si>
    <t>Jaqueta</t>
  </si>
  <si>
    <t>João Felipe Cardoso</t>
  </si>
  <si>
    <t>Carrinho</t>
  </si>
  <si>
    <t>Maria Fernanda Jesus</t>
  </si>
  <si>
    <t>Alana Peixoto</t>
  </si>
  <si>
    <t>Dra. Catarina Castro</t>
  </si>
  <si>
    <t>Thiago Souza</t>
  </si>
  <si>
    <t>Móveis</t>
  </si>
  <si>
    <t>Cadeira</t>
  </si>
  <si>
    <t>João Miguel Pires</t>
  </si>
  <si>
    <t>Rafael Alves</t>
  </si>
  <si>
    <t>Pão</t>
  </si>
  <si>
    <t>Eduarda Teixeira</t>
  </si>
  <si>
    <t>Dr. Caio Silveira</t>
  </si>
  <si>
    <t>Otávio Duarte</t>
  </si>
  <si>
    <t>Lívia Caldeira</t>
  </si>
  <si>
    <t>Camiseta</t>
  </si>
  <si>
    <t>Sra. Isabella Porto</t>
  </si>
  <si>
    <t>MG</t>
  </si>
  <si>
    <t>Arroz</t>
  </si>
  <si>
    <t>Lucas Teixeira</t>
  </si>
  <si>
    <t>Sofá</t>
  </si>
  <si>
    <t>Luiza Barbosa</t>
  </si>
  <si>
    <t>Maria Eduarda da Costa</t>
  </si>
  <si>
    <t>Natália da Rosa</t>
  </si>
  <si>
    <t>Boné</t>
  </si>
  <si>
    <t>João Vitor da Mota</t>
  </si>
  <si>
    <t>Cama</t>
  </si>
  <si>
    <t>Caio Moura</t>
  </si>
  <si>
    <t>Vitor Gabriel Aragão</t>
  </si>
  <si>
    <t>Boneca</t>
  </si>
  <si>
    <t>Daniel Nunes</t>
  </si>
  <si>
    <t>André Dias</t>
  </si>
  <si>
    <t>Ana Luiza Cavalcanti</t>
  </si>
  <si>
    <t>Emanuella Alves</t>
  </si>
  <si>
    <t>Matheus Viana</t>
  </si>
  <si>
    <t>João Felipe Nunes</t>
  </si>
  <si>
    <t>Estante</t>
  </si>
  <si>
    <t>Antônio Gonçalves</t>
  </si>
  <si>
    <t>Pedro Lucas Cunha</t>
  </si>
  <si>
    <t>Tênis</t>
  </si>
  <si>
    <t>Maria Sophia Alves</t>
  </si>
  <si>
    <t>Dra. Marina Cavalcanti</t>
  </si>
  <si>
    <t>Gustavo Henrique Vieira</t>
  </si>
  <si>
    <t>Alexandre Sales</t>
  </si>
  <si>
    <t>Pedro Lucas Barbosa</t>
  </si>
  <si>
    <t>Lorena Pereira</t>
  </si>
  <si>
    <t>Davi Silva</t>
  </si>
  <si>
    <t>Caroline da Paz</t>
  </si>
  <si>
    <t>João Miguel Melo</t>
  </si>
  <si>
    <t>Gabriel Azevedo</t>
  </si>
  <si>
    <t>Renan Vieira</t>
  </si>
  <si>
    <t>Mesa</t>
  </si>
  <si>
    <t>João Pedro Alves</t>
  </si>
  <si>
    <t>Clara Viana</t>
  </si>
  <si>
    <t>Isadora Ferreira</t>
  </si>
  <si>
    <t>Mirella da Cruz</t>
  </si>
  <si>
    <t>Smartphone</t>
  </si>
  <si>
    <t>Vitor Gabriel Moraes</t>
  </si>
  <si>
    <t>Luiz Otávio Silva</t>
  </si>
  <si>
    <t>Vinicius Fernandes</t>
  </si>
  <si>
    <t>Benício Alves</t>
  </si>
  <si>
    <t>João Vitor da Costa</t>
  </si>
  <si>
    <t>Giovanna Caldeira</t>
  </si>
  <si>
    <t>Sr. Arthur Silveira</t>
  </si>
  <si>
    <t>Julia Cardoso</t>
  </si>
  <si>
    <t>Vicente Teixeira</t>
  </si>
  <si>
    <t>Dr. Henrique Pereira</t>
  </si>
  <si>
    <t>Lorena Caldeira</t>
  </si>
  <si>
    <t>Miguel Gonçalves</t>
  </si>
  <si>
    <t>Carolina Araújo</t>
  </si>
  <si>
    <t>João Felipe Moura</t>
  </si>
  <si>
    <t>Sarah Farias</t>
  </si>
  <si>
    <t>Stephany Almeida</t>
  </si>
  <si>
    <t>Dra. Brenda Gonçalves</t>
  </si>
  <si>
    <t>Helena Dias</t>
  </si>
  <si>
    <t>Ryan Costa</t>
  </si>
  <si>
    <t>Bianca Fogaça</t>
  </si>
  <si>
    <t>Heitor Cardoso</t>
  </si>
  <si>
    <t>Marcelo Cardoso</t>
  </si>
  <si>
    <t>Dr. Thales da Mata</t>
  </si>
  <si>
    <t>Sra. Gabriela Moreira</t>
  </si>
  <si>
    <t>Emanuelly Moreira</t>
  </si>
  <si>
    <t>Amanda Barbosa</t>
  </si>
  <si>
    <t>Lucca Oliveira</t>
  </si>
  <si>
    <t>Laís Pires</t>
  </si>
  <si>
    <t>Matheus Peixoto</t>
  </si>
  <si>
    <t>Bárbara Nascimento</t>
  </si>
  <si>
    <t>Rafael Jesus</t>
  </si>
  <si>
    <t>Vitor Hugo da Conceição</t>
  </si>
  <si>
    <t>Matheus Melo</t>
  </si>
  <si>
    <t>Davi Lucca Cardoso</t>
  </si>
  <si>
    <t>Guilherme da Rocha</t>
  </si>
  <si>
    <t>Luiz Gustavo Freitas</t>
  </si>
  <si>
    <t>Calebe Araújo</t>
  </si>
  <si>
    <t>Renan da Paz</t>
  </si>
  <si>
    <t>Emanuelly Correia</t>
  </si>
  <si>
    <t>Sofia Monteiro</t>
  </si>
  <si>
    <t>Yuri Almeida</t>
  </si>
  <si>
    <t>Kaique Peixoto</t>
  </si>
  <si>
    <t>Nicole Fogaça</t>
  </si>
  <si>
    <t>Cauã da Luz</t>
  </si>
  <si>
    <t>Bernardo Gomes</t>
  </si>
  <si>
    <t>Maria Julia Almeida</t>
  </si>
  <si>
    <t>Luiz Otávio Cavalcanti</t>
  </si>
  <si>
    <t>Matheus Cavalcanti</t>
  </si>
  <si>
    <t>Levi Correia</t>
  </si>
  <si>
    <t>Alexia Viana</t>
  </si>
  <si>
    <t>Srta. Raquel Moura</t>
  </si>
  <si>
    <t>Luna Porto</t>
  </si>
  <si>
    <t>Arthur Peixoto</t>
  </si>
  <si>
    <t>Dr. Yuri da Rocha</t>
  </si>
  <si>
    <t>André Sales</t>
  </si>
  <si>
    <t>Maitê Souza</t>
  </si>
  <si>
    <t>Bárbara Correia</t>
  </si>
  <si>
    <t>Kaique Gonçalves</t>
  </si>
  <si>
    <t>Sra. Lívia Lopes</t>
  </si>
  <si>
    <t>Lorena Vieira</t>
  </si>
  <si>
    <t>Giovanna Costa</t>
  </si>
  <si>
    <t>Daniela Rocha</t>
  </si>
  <si>
    <t>Carolina Martins</t>
  </si>
  <si>
    <t>Francisco Monteiro</t>
  </si>
  <si>
    <t>Nathan Teixeira</t>
  </si>
  <si>
    <t>Erick Silveira</t>
  </si>
  <si>
    <t>Paulo Mendes</t>
  </si>
  <si>
    <t>Srta. Alice Martins</t>
  </si>
  <si>
    <t>Dra. Pietra Souza</t>
  </si>
  <si>
    <t>Cecília Duarte</t>
  </si>
  <si>
    <t>Ana Clara Costela</t>
  </si>
  <si>
    <t>Dra. Emanuella Gonçalves</t>
  </si>
  <si>
    <t>Lucca Melo</t>
  </si>
  <si>
    <t>Sr. Benício da Cunha</t>
  </si>
  <si>
    <t>Valentina Ramos</t>
  </si>
  <si>
    <t>Lucca Castro</t>
  </si>
  <si>
    <t>Rafaela Vieira</t>
  </si>
  <si>
    <t>Gabrielly Dias</t>
  </si>
  <si>
    <t>João Lucas Ribeiro</t>
  </si>
  <si>
    <t>Luiz Henrique Pereira</t>
  </si>
  <si>
    <t>Thiago Azevedo</t>
  </si>
  <si>
    <t>Fernando Nascimento</t>
  </si>
  <si>
    <t>Ian Pereira</t>
  </si>
  <si>
    <t>Luigi Pires</t>
  </si>
  <si>
    <t>Dr. Caio Viana</t>
  </si>
  <si>
    <t>Benjamin Duarte</t>
  </si>
  <si>
    <t>Sra. Ana Laura da Conceição</t>
  </si>
  <si>
    <t>Juan da Mata</t>
  </si>
  <si>
    <t>Lucca Nascimento</t>
  </si>
  <si>
    <t>Ana Júlia Melo</t>
  </si>
  <si>
    <t>Dr. Lucas Sales</t>
  </si>
  <si>
    <t>Maria Clara Rodrigues</t>
  </si>
  <si>
    <t>Thiago Sales</t>
  </si>
  <si>
    <t>Nicolas Souza</t>
  </si>
  <si>
    <t>Daniela da Costa</t>
  </si>
  <si>
    <t>Levi Gomes</t>
  </si>
  <si>
    <t>Diogo Cavalcanti</t>
  </si>
  <si>
    <t>Pedro Henrique das Neves</t>
  </si>
  <si>
    <t>Ana Beatriz Martins</t>
  </si>
  <si>
    <t>Ian Santos</t>
  </si>
  <si>
    <t>Raquel Novaes</t>
  </si>
  <si>
    <t>Ana Luiza Castro</t>
  </si>
  <si>
    <t>Rafaela Silva</t>
  </si>
  <si>
    <t>Dr. João Miguel Monteiro</t>
  </si>
  <si>
    <t>Heloísa da Rosa</t>
  </si>
  <si>
    <t>Sofia Lima</t>
  </si>
  <si>
    <t>Stephany Rodrigues</t>
  </si>
  <si>
    <t>Vitor Gabriel da Paz</t>
  </si>
  <si>
    <t>Benjamin Alves</t>
  </si>
  <si>
    <t>Dr. Ryan Santos</t>
  </si>
  <si>
    <t>Elisa Ramos</t>
  </si>
  <si>
    <t>Pedro Sales</t>
  </si>
  <si>
    <t>Milena Cavalcanti</t>
  </si>
  <si>
    <t>Dr. Vitor Rezende</t>
  </si>
  <si>
    <t>Sra. Yasmin Freitas</t>
  </si>
  <si>
    <t>Luiza Carvalho</t>
  </si>
  <si>
    <t>Eduardo Alves</t>
  </si>
  <si>
    <t>Renan Nogueira</t>
  </si>
  <si>
    <t>Dr. André Cunha</t>
  </si>
  <si>
    <t>Ryan Moraes</t>
  </si>
  <si>
    <t>Vitória Oliveira</t>
  </si>
  <si>
    <t>Catarina Costa</t>
  </si>
  <si>
    <t>Sr. Igor da Mota</t>
  </si>
  <si>
    <t>Ana Julia Gonçalves</t>
  </si>
  <si>
    <t>Heloísa Vieira</t>
  </si>
  <si>
    <t>Alexandre Novaes</t>
  </si>
  <si>
    <t>Sr. João Felipe Castro</t>
  </si>
  <si>
    <t>Amanda Costela</t>
  </si>
  <si>
    <t>Dr. Cauê Novaes</t>
  </si>
  <si>
    <t>Maria Vitória Gonçalves</t>
  </si>
  <si>
    <t>Augusto Aragão</t>
  </si>
  <si>
    <t>Maria Vitória Aragão</t>
  </si>
  <si>
    <t>Thales Pereira</t>
  </si>
  <si>
    <t>Rebeca Moreira</t>
  </si>
  <si>
    <t>Mirella Gonçalves</t>
  </si>
  <si>
    <t>Cauê Dias</t>
  </si>
  <si>
    <t>Matheus Caldeira</t>
  </si>
  <si>
    <t>Gabrielly Freitas</t>
  </si>
  <si>
    <t>Sra. Maria Alice das Neves</t>
  </si>
  <si>
    <t>Dra. Lívia Ferreira</t>
  </si>
  <si>
    <t>ANO</t>
  </si>
  <si>
    <t>MÊS</t>
  </si>
  <si>
    <t>DIA</t>
  </si>
  <si>
    <t>DIA  DA SEMANA</t>
  </si>
  <si>
    <t>LUCRO</t>
  </si>
  <si>
    <t>GASTOS</t>
  </si>
  <si>
    <t>Categoria</t>
  </si>
  <si>
    <t>Produto</t>
  </si>
  <si>
    <t>Total Geral</t>
  </si>
  <si>
    <t>Soma de Quantidade</t>
  </si>
  <si>
    <t>Soma de Total da Venda</t>
  </si>
  <si>
    <t>ANO_MÊS</t>
  </si>
  <si>
    <t>% DE VENDA MÊS</t>
  </si>
  <si>
    <t>VALOR MEDIO VENDA</t>
  </si>
  <si>
    <t>Soma Total de Vendas</t>
  </si>
  <si>
    <t>Comportamento de vendas por produtos</t>
  </si>
  <si>
    <t>Comportamento de venda por grupos</t>
  </si>
  <si>
    <t>Venda por Estados</t>
  </si>
  <si>
    <t>VIP</t>
  </si>
  <si>
    <t>NÃO VIP</t>
  </si>
  <si>
    <t>DOMINGO</t>
  </si>
  <si>
    <t>SEGUNDA</t>
  </si>
  <si>
    <t>TERÇA</t>
  </si>
  <si>
    <t>QUARTA</t>
  </si>
  <si>
    <t>QUINTA</t>
  </si>
  <si>
    <t>SEXTA</t>
  </si>
  <si>
    <t>SÁBADO</t>
  </si>
  <si>
    <t>Venda na Semana VIP ou NÃO VIP</t>
  </si>
  <si>
    <t>Venda VIP ou NÃO VIP</t>
  </si>
  <si>
    <t>Vale de vendas em Janeiro</t>
  </si>
  <si>
    <t>Melhor mês de vendas em fevereiro</t>
  </si>
  <si>
    <t>Diferença de apenas 8 unidades vendidas entre os meses</t>
  </si>
  <si>
    <t>Quantidade vendida não interfere no valor vendido</t>
  </si>
  <si>
    <r>
      <t>Catego</t>
    </r>
    <r>
      <rPr>
        <sz val="11"/>
        <color theme="1"/>
        <rFont val="Calibri"/>
        <family val="2"/>
        <scheme val="minor"/>
      </rPr>
      <t>ria</t>
    </r>
  </si>
  <si>
    <t>Alimentos e vestuários tem maior concentração de vendas</t>
  </si>
  <si>
    <t>Loja com custo unitátio elevado</t>
  </si>
  <si>
    <t>Top 5 produtos tem relação com jogos de tabuleiros, três deles</t>
  </si>
  <si>
    <t>Segmentação de clientes para retenção e promoções e sinalizadores diferentes</t>
  </si>
  <si>
    <t>Oportunidades</t>
  </si>
  <si>
    <t>Análise incial</t>
  </si>
  <si>
    <t>Análise de vendas no tempo</t>
  </si>
  <si>
    <t>Foi construído um gráfico que mostra as vendas totais do mês.</t>
  </si>
  <si>
    <t>Nesse gráfico conseguimos identificar que tivemos um vale de vendas em Dezembro, menor valor vendido da história.</t>
  </si>
  <si>
    <t>Em Fevereiro tivemos o maior valor vendido, sendo mantido altos valores nos meses posteriores, com leve variação.</t>
  </si>
  <si>
    <t>De Dezembo para Janeiro, tivemos um aumento de 65% no valor das vendas e apenas 8 unidades de itens vendidos, ou seja,</t>
  </si>
  <si>
    <t>o mix de produtos vendidos variou bastante de um mês para outro, sendo item essêncial na compisição dos valores.</t>
  </si>
  <si>
    <t>Qtd vendida mês</t>
  </si>
  <si>
    <t>2024_12</t>
  </si>
  <si>
    <t>2025_1</t>
  </si>
  <si>
    <t>2025_3</t>
  </si>
  <si>
    <t>2025_4</t>
  </si>
  <si>
    <t>2025_5</t>
  </si>
  <si>
    <t>2015_2</t>
  </si>
  <si>
    <t>Catagorias</t>
  </si>
  <si>
    <t>Esses itens possuem alto custo unitário.</t>
  </si>
  <si>
    <t>Em relação a categoria de produtos, temos uma concetração de vendas Alimentos e Vestuário em 44,1%.</t>
  </si>
  <si>
    <t>Produtos</t>
  </si>
  <si>
    <t>Dentro das categorias, temos uma concentração de vendas em 5 produtos abaixo.</t>
  </si>
  <si>
    <t>Estados e regiões</t>
  </si>
  <si>
    <t>Concentramos as vendas por regiões, sendo Nordeste, seguida do Sul e Sudeste</t>
  </si>
  <si>
    <t>Segmentação de clientes Vips por dia da semana</t>
  </si>
  <si>
    <t>Manter o nível de vendas do último trimestre</t>
  </si>
  <si>
    <t>Focar nos itens de maior lucro</t>
  </si>
  <si>
    <t>Aumentar vendas no sudeste</t>
  </si>
  <si>
    <t>Aumentar vendas segundas, terças e quartas</t>
  </si>
  <si>
    <t>Ação estratégica</t>
  </si>
  <si>
    <t>Focar estratégias de temperaturas frias e venda de jogos alimentos e roupas para inverno</t>
  </si>
  <si>
    <t>Cupom promocional para clientes VIPS quarta-feira</t>
  </si>
  <si>
    <t>Cupom promocional para clientes não VIPS, terças e quartas-feraias</t>
  </si>
  <si>
    <t>Pontos de atenção</t>
  </si>
  <si>
    <t>Julho até que data?</t>
  </si>
  <si>
    <t>Alguma categoria se destaca algum mês?</t>
  </si>
  <si>
    <t>Quantos itens em cada categoria?</t>
  </si>
  <si>
    <t>Qual valor médio de cada categoria?</t>
  </si>
  <si>
    <t>Quantos itens temos?</t>
  </si>
  <si>
    <t>Por que top 5 e não top10?</t>
  </si>
  <si>
    <t>Por que não pareto?</t>
  </si>
  <si>
    <t>Pontos de anteção</t>
  </si>
  <si>
    <t>Como está o estoque e distribuição em cada estado?</t>
  </si>
  <si>
    <t>Vendemos pela facilidade de logística ou comportamento do cliente?</t>
  </si>
  <si>
    <t>Temos os e-mails ou telefone dos clientes?</t>
  </si>
  <si>
    <t>Como vamos sinalizar os cupons promocionais?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</si>
</sst>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164" formatCode="&quot;R$&quot;\ #,##0.00"/>
    <numFmt numFmtId="165" formatCode="_-[$R$-416]\ * #,##0.00_-;\-[$R$-416]\ * #,##0.00_-;_-[$R$-416]\ * &quot;-&quot;??_-;_-@_-"/>
    <numFmt numFmtId="166" formatCode="0.0%"/>
  </numFmts>
  <fonts count="1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theme="4" tint="0.79998168889431442"/>
      </patternFill>
    </fill>
    <fill>
      <patternFill patternType="solid">
        <fgColor theme="9"/>
        <bgColor theme="4" tint="0.79998168889431442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71">
    <xf numFmtId="0" fontId="0" fillId="0" borderId="0" xfId="0" applyFont="1" applyAlignment="1"/>
    <xf numFmtId="0" fontId="3" fillId="0" borderId="1" xfId="0" applyFont="1" applyBorder="1" applyAlignment="1">
      <alignment horizontal="center" vertical="top"/>
    </xf>
    <xf numFmtId="14" fontId="4" fillId="0" borderId="0" xfId="0" applyNumberFormat="1" applyFont="1"/>
    <xf numFmtId="1" fontId="5" fillId="0" borderId="0" xfId="0" applyNumberFormat="1" applyFont="1"/>
    <xf numFmtId="49" fontId="5" fillId="0" borderId="0" xfId="0" applyNumberFormat="1" applyFont="1"/>
    <xf numFmtId="49" fontId="3" fillId="0" borderId="1" xfId="0" applyNumberFormat="1" applyFont="1" applyBorder="1" applyAlignment="1">
      <alignment horizontal="center" vertical="top"/>
    </xf>
    <xf numFmtId="49" fontId="0" fillId="0" borderId="0" xfId="0" applyNumberFormat="1" applyFont="1" applyAlignment="1"/>
    <xf numFmtId="12" fontId="5" fillId="0" borderId="0" xfId="0" applyNumberFormat="1" applyFont="1"/>
    <xf numFmtId="0" fontId="3" fillId="0" borderId="2" xfId="0" applyFont="1" applyFill="1" applyBorder="1" applyAlignment="1">
      <alignment horizontal="center" vertical="top"/>
    </xf>
    <xf numFmtId="165" fontId="0" fillId="0" borderId="0" xfId="0" applyNumberFormat="1" applyFont="1" applyAlignment="1"/>
    <xf numFmtId="165" fontId="3" fillId="0" borderId="1" xfId="0" applyNumberFormat="1" applyFont="1" applyBorder="1" applyAlignment="1">
      <alignment horizontal="center" vertical="top"/>
    </xf>
    <xf numFmtId="165" fontId="5" fillId="0" borderId="0" xfId="0" applyNumberFormat="1" applyFont="1"/>
    <xf numFmtId="165" fontId="3" fillId="0" borderId="2" xfId="0" applyNumberFormat="1" applyFont="1" applyFill="1" applyBorder="1" applyAlignment="1">
      <alignment horizontal="center" vertical="top"/>
    </xf>
    <xf numFmtId="0" fontId="0" fillId="0" borderId="3" xfId="0" applyFont="1" applyBorder="1" applyAlignment="1"/>
    <xf numFmtId="0" fontId="0" fillId="0" borderId="0" xfId="0" applyFont="1" applyBorder="1" applyAlignment="1"/>
    <xf numFmtId="44" fontId="0" fillId="0" borderId="3" xfId="0" applyNumberFormat="1" applyFont="1" applyBorder="1" applyAlignment="1"/>
    <xf numFmtId="0" fontId="0" fillId="0" borderId="6" xfId="0" applyFont="1" applyBorder="1" applyAlignment="1">
      <alignment horizontal="left"/>
    </xf>
    <xf numFmtId="0" fontId="0" fillId="0" borderId="4" xfId="0" pivotButton="1" applyFont="1" applyBorder="1" applyAlignment="1"/>
    <xf numFmtId="0" fontId="0" fillId="0" borderId="7" xfId="0" applyFont="1" applyBorder="1" applyAlignment="1">
      <alignment horizontal="left"/>
    </xf>
    <xf numFmtId="2" fontId="0" fillId="0" borderId="3" xfId="0" applyNumberFormat="1" applyFont="1" applyBorder="1" applyAlignment="1"/>
    <xf numFmtId="0" fontId="1" fillId="7" borderId="5" xfId="0" applyFont="1" applyFill="1" applyBorder="1" applyAlignment="1"/>
    <xf numFmtId="0" fontId="0" fillId="7" borderId="10" xfId="0" applyFont="1" applyFill="1" applyBorder="1" applyAlignment="1"/>
    <xf numFmtId="0" fontId="0" fillId="7" borderId="3" xfId="0" applyFont="1" applyFill="1" applyBorder="1" applyAlignment="1"/>
    <xf numFmtId="0" fontId="1" fillId="7" borderId="3" xfId="0" applyFont="1" applyFill="1" applyBorder="1" applyAlignment="1"/>
    <xf numFmtId="44" fontId="0" fillId="0" borderId="3" xfId="2" applyFont="1" applyBorder="1" applyAlignment="1"/>
    <xf numFmtId="0" fontId="0" fillId="5" borderId="3" xfId="0" applyFont="1" applyFill="1" applyBorder="1" applyAlignment="1"/>
    <xf numFmtId="44" fontId="6" fillId="5" borderId="3" xfId="2" applyFont="1" applyFill="1" applyBorder="1" applyAlignment="1"/>
    <xf numFmtId="0" fontId="1" fillId="7" borderId="6" xfId="0" applyFont="1" applyFill="1" applyBorder="1" applyAlignment="1"/>
    <xf numFmtId="0" fontId="0" fillId="7" borderId="13" xfId="0" applyFont="1" applyFill="1" applyBorder="1" applyAlignment="1"/>
    <xf numFmtId="0" fontId="2" fillId="6" borderId="3" xfId="0" applyFont="1" applyFill="1" applyBorder="1" applyAlignment="1"/>
    <xf numFmtId="0" fontId="6" fillId="6" borderId="3" xfId="0" applyFont="1" applyFill="1" applyBorder="1" applyAlignment="1"/>
    <xf numFmtId="0" fontId="2" fillId="6" borderId="6" xfId="0" applyFont="1" applyFill="1" applyBorder="1" applyAlignment="1"/>
    <xf numFmtId="0" fontId="2" fillId="6" borderId="9" xfId="0" applyFont="1" applyFill="1" applyBorder="1" applyAlignment="1"/>
    <xf numFmtId="0" fontId="2" fillId="6" borderId="13" xfId="0" applyFont="1" applyFill="1" applyBorder="1" applyAlignment="1"/>
    <xf numFmtId="44" fontId="2" fillId="3" borderId="3" xfId="0" applyNumberFormat="1" applyFont="1" applyFill="1" applyBorder="1" applyAlignment="1"/>
    <xf numFmtId="44" fontId="2" fillId="2" borderId="3" xfId="0" applyNumberFormat="1" applyFont="1" applyFill="1" applyBorder="1" applyAlignment="1"/>
    <xf numFmtId="44" fontId="2" fillId="4" borderId="3" xfId="0" applyNumberFormat="1" applyFont="1" applyFill="1" applyBorder="1" applyAlignment="1"/>
    <xf numFmtId="44" fontId="6" fillId="2" borderId="3" xfId="0" applyNumberFormat="1" applyFont="1" applyFill="1" applyBorder="1" applyAlignment="1"/>
    <xf numFmtId="0" fontId="2" fillId="5" borderId="3" xfId="0" applyFont="1" applyFill="1" applyBorder="1" applyAlignment="1"/>
    <xf numFmtId="166" fontId="0" fillId="0" borderId="3" xfId="1" applyNumberFormat="1" applyFont="1" applyBorder="1" applyAlignment="1"/>
    <xf numFmtId="9" fontId="0" fillId="0" borderId="3" xfId="1" applyFont="1" applyBorder="1" applyAlignment="1"/>
    <xf numFmtId="165" fontId="0" fillId="0" borderId="3" xfId="0" applyNumberFormat="1" applyFont="1" applyBorder="1" applyAlignment="1"/>
    <xf numFmtId="0" fontId="1" fillId="0" borderId="0" xfId="0" applyFont="1" applyAlignment="1"/>
    <xf numFmtId="0" fontId="7" fillId="0" borderId="2" xfId="0" applyFont="1" applyFill="1" applyBorder="1" applyAlignment="1">
      <alignment horizontal="center" vertical="top"/>
    </xf>
    <xf numFmtId="0" fontId="1" fillId="5" borderId="3" xfId="0" applyFont="1" applyFill="1" applyBorder="1" applyAlignment="1"/>
    <xf numFmtId="44" fontId="0" fillId="5" borderId="3" xfId="2" applyFont="1" applyFill="1" applyBorder="1" applyAlignment="1"/>
    <xf numFmtId="0" fontId="0" fillId="0" borderId="7" xfId="0" pivotButton="1" applyFont="1" applyBorder="1" applyAlignment="1"/>
    <xf numFmtId="0" fontId="0" fillId="0" borderId="8" xfId="0" applyFont="1" applyBorder="1" applyAlignment="1"/>
    <xf numFmtId="0" fontId="0" fillId="0" borderId="14" xfId="0" pivotButton="1" applyFont="1" applyBorder="1" applyAlignment="1"/>
    <xf numFmtId="0" fontId="0" fillId="0" borderId="15" xfId="0" applyFont="1" applyBorder="1" applyAlignment="1"/>
    <xf numFmtId="0" fontId="0" fillId="0" borderId="9" xfId="0" applyFont="1" applyBorder="1" applyAlignment="1"/>
    <xf numFmtId="0" fontId="0" fillId="0" borderId="16" xfId="0" applyFont="1" applyBorder="1" applyAlignment="1"/>
    <xf numFmtId="0" fontId="0" fillId="0" borderId="17" xfId="0" applyFont="1" applyBorder="1" applyAlignment="1"/>
    <xf numFmtId="44" fontId="0" fillId="0" borderId="17" xfId="2" applyFont="1" applyBorder="1" applyAlignment="1"/>
    <xf numFmtId="0" fontId="0" fillId="7" borderId="11" xfId="0" applyFont="1" applyFill="1" applyBorder="1" applyAlignment="1"/>
    <xf numFmtId="0" fontId="0" fillId="7" borderId="12" xfId="0" applyFont="1" applyFill="1" applyBorder="1" applyAlignment="1"/>
    <xf numFmtId="0" fontId="0" fillId="7" borderId="17" xfId="0" applyFont="1" applyFill="1" applyBorder="1" applyAlignment="1"/>
    <xf numFmtId="0" fontId="0" fillId="7" borderId="14" xfId="0" applyFont="1" applyFill="1" applyBorder="1" applyAlignment="1"/>
    <xf numFmtId="0" fontId="0" fillId="7" borderId="3" xfId="0" applyFont="1" applyFill="1" applyBorder="1" applyAlignment="1">
      <alignment horizontal="right"/>
    </xf>
    <xf numFmtId="0" fontId="1" fillId="7" borderId="3" xfId="0" applyFont="1" applyFill="1" applyBorder="1" applyAlignment="1">
      <alignment horizontal="right"/>
    </xf>
    <xf numFmtId="0" fontId="1" fillId="7" borderId="6" xfId="0" applyFont="1" applyFill="1" applyBorder="1" applyAlignment="1">
      <alignment horizontal="right"/>
    </xf>
    <xf numFmtId="44" fontId="0" fillId="8" borderId="3" xfId="2" applyFont="1" applyFill="1" applyBorder="1" applyAlignment="1"/>
    <xf numFmtId="44" fontId="0" fillId="9" borderId="3" xfId="2" applyFont="1" applyFill="1" applyBorder="1" applyAlignment="1"/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3" fontId="6" fillId="0" borderId="0" xfId="0" applyNumberFormat="1" applyFont="1" applyAlignment="1">
      <alignment horizontal="center"/>
    </xf>
    <xf numFmtId="0" fontId="8" fillId="0" borderId="0" xfId="0" applyFont="1" applyAlignment="1"/>
    <xf numFmtId="0" fontId="9" fillId="0" borderId="0" xfId="0" applyFont="1" applyAlignment="1"/>
    <xf numFmtId="0" fontId="1" fillId="10" borderId="0" xfId="0" applyFont="1" applyFill="1" applyAlignment="1"/>
    <xf numFmtId="0" fontId="0" fillId="10" borderId="0" xfId="0" applyFont="1" applyFill="1" applyAlignment="1"/>
  </cellXfs>
  <cellStyles count="3">
    <cellStyle name="Moeda" xfId="2" builtinId="4"/>
    <cellStyle name="Normal" xfId="0" builtinId="0"/>
    <cellStyle name="Porcentagem" xfId="1" builtinId="5"/>
  </cellStyles>
  <dxfs count="29">
    <dxf>
      <numFmt numFmtId="0" formatCode="General"/>
    </dxf>
    <dxf>
      <numFmt numFmtId="34" formatCode="_-&quot;R$&quot;\ * #,##0.00_-;\-&quot;R$&quot;\ * #,##0.00_-;_-&quot;R$&quot;\ * &quot;-&quot;??_-;_-@_-"/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numFmt numFmtId="2" formatCode="0.00"/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" formatCode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_-[$R$-416]\ * #,##0.00_-;\-[$R$-416]\ * #,##0.00_-;_-[$R$-416]\ * &quot;-&quot;??_-;_-@_-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_-[$R$-416]\ * #,##0.00_-;\-[$R$-416]\ * #,##0.00_-;_-[$R$-416]\ * &quot;-&quot;??_-;_-@_-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_-[$R$-416]\ * #,##0.00_-;\-[$R$-416]\ * #,##0.00_-;_-[$R$-416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_-[$R$-416]\ * #,##0.00_-;\-[$R$-416]\ * #,##0.00_-;_-[$R$-416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7" formatCode="#\ ?/?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 da Venda por Mês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Planilha8!$A$4</c:f>
              <c:strCache>
                <c:ptCount val="1"/>
                <c:pt idx="0">
                  <c:v>Soma de Total da Venda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>
              <a:softEdge rad="0"/>
            </a:effectLst>
            <a:scene3d>
              <a:camera prst="orthographicFront"/>
              <a:lightRig rig="threePt" dir="t"/>
            </a:scene3d>
            <a:sp3d>
              <a:bevelT w="6350" h="6350"/>
            </a:sp3d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BA6C2033-BFB7-413E-A5A2-2002F023DBF9}" type="VALUE">
                      <a:rPr lang="en-US">
                        <a:solidFill>
                          <a:schemeClr val="accent1"/>
                        </a:solidFill>
                      </a:rPr>
                      <a:pPr/>
                      <a:t>[VALOR]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5EE9-4A0B-BE04-DB0312077BF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5231EFB9-6C0F-452D-85B4-3148E6A5AD60}" type="VALUE">
                      <a:rPr lang="en-US">
                        <a:solidFill>
                          <a:schemeClr val="accent1"/>
                        </a:solidFill>
                      </a:rPr>
                      <a:pPr/>
                      <a:t>[VALOR]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5EE9-4A0B-BE04-DB0312077BF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9FD364C7-E0A6-4717-819C-EC808F215C12}" type="VALUE">
                      <a:rPr lang="en-US">
                        <a:solidFill>
                          <a:schemeClr val="accent1"/>
                        </a:solidFill>
                      </a:rPr>
                      <a:pPr/>
                      <a:t>[VALOR]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5EE9-4A0B-BE04-DB0312077BF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FE79DA21-DF5E-450A-A669-ACDEDE0552BA}" type="VALUE">
                      <a:rPr lang="en-US">
                        <a:solidFill>
                          <a:schemeClr val="accent1"/>
                        </a:solidFill>
                      </a:rPr>
                      <a:pPr/>
                      <a:t>[VALOR]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5EE9-4A0B-BE04-DB0312077BFC}"/>
                </c:ext>
              </c:extLst>
            </c:dLbl>
            <c:dLbl>
              <c:idx val="4"/>
              <c:layout>
                <c:manualLayout>
                  <c:x val="2.7777777777777779E-3"/>
                  <c:y val="-2.3148148148148147E-2"/>
                </c:manualLayout>
              </c:layout>
              <c:tx>
                <c:rich>
                  <a:bodyPr/>
                  <a:lstStyle/>
                  <a:p>
                    <a:fld id="{15093105-2B1E-40E7-8D3C-11C487233D0D}" type="VALUE">
                      <a:rPr lang="en-US">
                        <a:solidFill>
                          <a:schemeClr val="accent1"/>
                        </a:solidFill>
                      </a:rPr>
                      <a:pPr/>
                      <a:t>[VALOR]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5EE9-4A0B-BE04-DB0312077BF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E9E58E75-C3DB-46C3-8454-46A3743B48FE}" type="VALUE">
                      <a:rPr lang="en-US">
                        <a:solidFill>
                          <a:schemeClr val="accent1"/>
                        </a:solidFill>
                      </a:rPr>
                      <a:pPr/>
                      <a:t>[VALOR]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6-5EE9-4A0B-BE04-DB0312077BF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ED53B4E7-607A-4B59-988C-51CE259C7281}" type="VALUE">
                      <a:rPr lang="en-US">
                        <a:solidFill>
                          <a:schemeClr val="accent1"/>
                        </a:solidFill>
                      </a:rPr>
                      <a:pPr/>
                      <a:t>[VALOR]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7-5EE9-4A0B-BE04-DB0312077BF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Planilha8!$B$2:$H$3</c:f>
              <c:multiLvlStrCache>
                <c:ptCount val="7"/>
                <c:lvl>
                  <c:pt idx="0">
                    <c:v>12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</c:lvl>
                <c:lvl>
                  <c:pt idx="0">
                    <c:v>2024</c:v>
                  </c:pt>
                  <c:pt idx="1">
                    <c:v>2025</c:v>
                  </c:pt>
                </c:lvl>
              </c:multiLvlStrCache>
            </c:multiLvlStrRef>
          </c:cat>
          <c:val>
            <c:numRef>
              <c:f>Planilha8!$B$4:$H$4</c:f>
              <c:numCache>
                <c:formatCode>_("R$"* #,##0.00_);_("R$"* \(#,##0.00\);_("R$"* "-"??_);_(@_)</c:formatCode>
                <c:ptCount val="7"/>
                <c:pt idx="0">
                  <c:v>190309.99</c:v>
                </c:pt>
                <c:pt idx="1">
                  <c:v>253222.88</c:v>
                </c:pt>
                <c:pt idx="2">
                  <c:v>315849.32</c:v>
                </c:pt>
                <c:pt idx="3">
                  <c:v>287268.71999999997</c:v>
                </c:pt>
                <c:pt idx="4">
                  <c:v>298945.33</c:v>
                </c:pt>
                <c:pt idx="5">
                  <c:v>276175.40999999997</c:v>
                </c:pt>
                <c:pt idx="6">
                  <c:v>60757.73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E9-4A0B-BE04-DB0312077B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78244544"/>
        <c:axId val="1978243104"/>
      </c:barChart>
      <c:catAx>
        <c:axId val="1978244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78243104"/>
        <c:crosses val="autoZero"/>
        <c:auto val="1"/>
        <c:lblAlgn val="ctr"/>
        <c:lblOffset val="100"/>
        <c:noMultiLvlLbl val="0"/>
      </c:catAx>
      <c:valAx>
        <c:axId val="1978243104"/>
        <c:scaling>
          <c:orientation val="minMax"/>
          <c:max val="4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78244544"/>
        <c:crosses val="autoZero"/>
        <c:crossBetween val="between"/>
        <c:majorUnit val="10000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Porcentagem de Vendas por Categoria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Planilha8!$B$12</c:f>
              <c:strCache>
                <c:ptCount val="1"/>
                <c:pt idx="0">
                  <c:v>Soma Total de Vendas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2235-4CE3-8855-A89AE98DF1C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235-4CE3-8855-A89AE98DF1C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2235-4CE3-8855-A89AE98DF1C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235-4CE3-8855-A89AE98DF1C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235-4CE3-8855-A89AE98DF1C6}"/>
              </c:ext>
            </c:extLst>
          </c:dPt>
          <c:dLbls>
            <c:dLbl>
              <c:idx val="0"/>
              <c:layout>
                <c:manualLayout>
                  <c:x val="9.3536745406824245E-2"/>
                  <c:y val="-3.8054097404491105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235-4CE3-8855-A89AE98DF1C6}"/>
                </c:ext>
              </c:extLst>
            </c:dLbl>
            <c:dLbl>
              <c:idx val="1"/>
              <c:layout>
                <c:manualLayout>
                  <c:x val="6.2013123359579952E-2"/>
                  <c:y val="-0.12352653834937299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235-4CE3-8855-A89AE98DF1C6}"/>
                </c:ext>
              </c:extLst>
            </c:dLbl>
            <c:dLbl>
              <c:idx val="2"/>
              <c:layout>
                <c:manualLayout>
                  <c:x val="-0.15896325459317584"/>
                  <c:y val="-4.308107319918343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235-4CE3-8855-A89AE98DF1C6}"/>
                </c:ext>
              </c:extLst>
            </c:dLbl>
            <c:dLbl>
              <c:idx val="3"/>
              <c:layout>
                <c:manualLayout>
                  <c:x val="-5.2243328958880141E-2"/>
                  <c:y val="-5.639727325750947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235-4CE3-8855-A89AE98DF1C6}"/>
                </c:ext>
              </c:extLst>
            </c:dLbl>
            <c:dLbl>
              <c:idx val="4"/>
              <c:layout>
                <c:manualLayout>
                  <c:x val="-9.1505030621172365E-2"/>
                  <c:y val="5.9204578594342378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235-4CE3-8855-A89AE98DF1C6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Planilha8!$A$13:$A$17</c:f>
              <c:strCache>
                <c:ptCount val="5"/>
                <c:pt idx="0">
                  <c:v>Alimentos</c:v>
                </c:pt>
                <c:pt idx="1">
                  <c:v>Brinquedos</c:v>
                </c:pt>
                <c:pt idx="2">
                  <c:v>Eletrônicos</c:v>
                </c:pt>
                <c:pt idx="3">
                  <c:v>Móveis</c:v>
                </c:pt>
                <c:pt idx="4">
                  <c:v>Vestuário</c:v>
                </c:pt>
              </c:strCache>
            </c:strRef>
          </c:cat>
          <c:val>
            <c:numRef>
              <c:f>Planilha8!$B$13:$B$17</c:f>
              <c:numCache>
                <c:formatCode>_("R$"* #,##0.00_);_("R$"* \(#,##0.00\);_("R$"* "-"??_);_(@_)</c:formatCode>
                <c:ptCount val="5"/>
                <c:pt idx="0">
                  <c:v>378777.27</c:v>
                </c:pt>
                <c:pt idx="1">
                  <c:v>331006.07</c:v>
                </c:pt>
                <c:pt idx="2">
                  <c:v>322217.59999999992</c:v>
                </c:pt>
                <c:pt idx="3">
                  <c:v>286853.40999999992</c:v>
                </c:pt>
                <c:pt idx="4">
                  <c:v>363675.03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35-4CE3-8855-A89AE98DF1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 baseline="0"/>
              <a:t>Total de Venda por Produto (TOP 5)</a:t>
            </a:r>
          </a:p>
          <a:p>
            <a:pPr>
              <a:defRPr/>
            </a:pP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1445312491689872"/>
          <c:y val="0.23476032039796305"/>
          <c:w val="0.65512470883967944"/>
          <c:h val="0.65670973217653705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F5CD0C40-1D04-4989-A127-C5AA56E5D7F1}" type="VALUE">
                      <a:rPr lang="en-US">
                        <a:solidFill>
                          <a:schemeClr val="accent1"/>
                        </a:solidFill>
                      </a:rPr>
                      <a:pPr/>
                      <a:t>[VALOR]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E190-40BB-9127-CA5105B98FB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49DE3919-439A-4BBE-B78D-EB32958A1A47}" type="VALUE">
                      <a:rPr lang="en-US">
                        <a:solidFill>
                          <a:schemeClr val="accent1"/>
                        </a:solidFill>
                      </a:rPr>
                      <a:pPr/>
                      <a:t>[VALOR]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E190-40BB-9127-CA5105B98FB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9656177-61C2-4EE8-9E2E-9667319FD707}" type="VALUE">
                      <a:rPr lang="en-US">
                        <a:solidFill>
                          <a:schemeClr val="accent1"/>
                        </a:solidFill>
                      </a:rPr>
                      <a:pPr/>
                      <a:t>[VALOR]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E190-40BB-9127-CA5105B98FB2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1BC99C16-814D-46CB-BC85-C5220CA97590}" type="VALUE">
                      <a:rPr lang="en-US">
                        <a:solidFill>
                          <a:schemeClr val="accent1"/>
                        </a:solidFill>
                      </a:rPr>
                      <a:pPr/>
                      <a:t>[VALOR]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E190-40BB-9127-CA5105B98FB2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2726EA54-1866-404A-97C0-F1B006E63875}" type="VALUE">
                      <a:rPr lang="en-US">
                        <a:solidFill>
                          <a:schemeClr val="accent1"/>
                        </a:solidFill>
                      </a:rPr>
                      <a:pPr/>
                      <a:t>[VALOR]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E190-40BB-9127-CA5105B98FB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Planilha8!$A$23:$A$27</c:f>
              <c:strCache>
                <c:ptCount val="5"/>
                <c:pt idx="0">
                  <c:v>Jogo de Tabuleiro</c:v>
                </c:pt>
                <c:pt idx="1">
                  <c:v>Mesa</c:v>
                </c:pt>
                <c:pt idx="2">
                  <c:v>Arroz</c:v>
                </c:pt>
                <c:pt idx="3">
                  <c:v>Jaqueta</c:v>
                </c:pt>
                <c:pt idx="4">
                  <c:v>Cadeira</c:v>
                </c:pt>
              </c:strCache>
            </c:strRef>
          </c:cat>
          <c:val>
            <c:numRef>
              <c:f>Planilha8!$B$23:$B$27</c:f>
              <c:numCache>
                <c:formatCode>_("R$"* #,##0.00_);_("R$"* \(#,##0.00\);_("R$"* "-"??_);_(@_)</c:formatCode>
                <c:ptCount val="5"/>
                <c:pt idx="0">
                  <c:v>123875.68</c:v>
                </c:pt>
                <c:pt idx="1">
                  <c:v>113966.45000000001</c:v>
                </c:pt>
                <c:pt idx="2">
                  <c:v>103668.4</c:v>
                </c:pt>
                <c:pt idx="3">
                  <c:v>98081.2</c:v>
                </c:pt>
                <c:pt idx="4">
                  <c:v>96954.319999999978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90-40BB-9127-CA5105B98F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84407680"/>
        <c:axId val="1084405280"/>
      </c:barChart>
      <c:catAx>
        <c:axId val="108440768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84405280"/>
        <c:crosses val="autoZero"/>
        <c:auto val="1"/>
        <c:lblAlgn val="ctr"/>
        <c:lblOffset val="100"/>
        <c:noMultiLvlLbl val="0"/>
      </c:catAx>
      <c:valAx>
        <c:axId val="1084405280"/>
        <c:scaling>
          <c:orientation val="minMax"/>
          <c:max val="130000"/>
          <c:min val="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84407680"/>
        <c:crosses val="autoZero"/>
        <c:crossBetween val="between"/>
        <c:majorUnit val="30000"/>
        <c:minorUnit val="100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Venda por Estados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8.7618687710645932E-2"/>
          <c:y val="0.17583490948995886"/>
          <c:w val="0.79046430837734061"/>
          <c:h val="0.6890354327590667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Planilha8!$B$52:$B$53</c:f>
              <c:strCache>
                <c:ptCount val="2"/>
                <c:pt idx="0">
                  <c:v>Venda por Estados</c:v>
                </c:pt>
                <c:pt idx="1">
                  <c:v>Soma de Total da Venda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Planilha8!$A$54:$A$60</c:f>
              <c:strCache>
                <c:ptCount val="7"/>
                <c:pt idx="0">
                  <c:v>BA</c:v>
                </c:pt>
                <c:pt idx="1">
                  <c:v>PE</c:v>
                </c:pt>
                <c:pt idx="2">
                  <c:v>RS</c:v>
                </c:pt>
                <c:pt idx="3">
                  <c:v>PR</c:v>
                </c:pt>
                <c:pt idx="4">
                  <c:v>RJ</c:v>
                </c:pt>
                <c:pt idx="5">
                  <c:v>SP</c:v>
                </c:pt>
                <c:pt idx="6">
                  <c:v>MG</c:v>
                </c:pt>
              </c:strCache>
            </c:strRef>
          </c:cat>
          <c:val>
            <c:numRef>
              <c:f>Planilha8!$B$54:$B$60</c:f>
              <c:numCache>
                <c:formatCode>_("R$"* #,##0.00_);_("R$"* \(#,##0.00\);_("R$"* "-"??_);_(@_)</c:formatCode>
                <c:ptCount val="7"/>
                <c:pt idx="0">
                  <c:v>393873.35999999987</c:v>
                </c:pt>
                <c:pt idx="1">
                  <c:v>269825.89</c:v>
                </c:pt>
                <c:pt idx="2">
                  <c:v>253127.40999999997</c:v>
                </c:pt>
                <c:pt idx="3">
                  <c:v>224412.32999999993</c:v>
                </c:pt>
                <c:pt idx="4">
                  <c:v>211961.68999999994</c:v>
                </c:pt>
                <c:pt idx="5">
                  <c:v>174265.12</c:v>
                </c:pt>
                <c:pt idx="6">
                  <c:v>155063.57999999999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D8-47C3-BC69-6710F59C81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80268640"/>
        <c:axId val="1080263840"/>
      </c:barChart>
      <c:catAx>
        <c:axId val="108026864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80263840"/>
        <c:crosses val="autoZero"/>
        <c:auto val="1"/>
        <c:lblAlgn val="ctr"/>
        <c:lblOffset val="100"/>
        <c:noMultiLvlLbl val="0"/>
      </c:catAx>
      <c:valAx>
        <c:axId val="1080263840"/>
        <c:scaling>
          <c:orientation val="minMax"/>
          <c:max val="40000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80268640"/>
        <c:crosses val="autoZero"/>
        <c:crossBetween val="between"/>
        <c:majorUnit val="10000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/>
              <a:t>Vendas</a:t>
            </a:r>
            <a:r>
              <a:rPr lang="pt-BR" b="1" baseline="0"/>
              <a:t> Segmentadas por dia da semana</a:t>
            </a:r>
            <a:endParaRPr lang="pt-BR" b="1"/>
          </a:p>
        </c:rich>
      </c:tx>
      <c:layout>
        <c:manualLayout>
          <c:xMode val="edge"/>
          <c:yMode val="edge"/>
          <c:x val="2.6873543195213824E-2"/>
          <c:y val="1.79937047536250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4356208959216063"/>
          <c:y val="0.13347730186239096"/>
          <c:w val="0.82954367934257534"/>
          <c:h val="0.70071651782425226"/>
        </c:manualLayout>
      </c:layout>
      <c:barChart>
        <c:barDir val="col"/>
        <c:grouping val="clustered"/>
        <c:varyColors val="0"/>
        <c:ser>
          <c:idx val="0"/>
          <c:order val="0"/>
          <c:tx>
            <c:v>Não Vip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-1.799370475362516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normalizeH="0" baseline="0">
                      <a:ln w="3175">
                        <a:noFill/>
                      </a:ln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DA8-481C-B6EA-1EE8E1F122EC}"/>
                </c:ext>
              </c:extLst>
            </c:dLbl>
            <c:dLbl>
              <c:idx val="4"/>
              <c:layout>
                <c:manualLayout>
                  <c:x val="2.068787005020235E-3"/>
                  <c:y val="-3.238866855652516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DA8-481C-B6EA-1EE8E1F122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normalizeH="0" baseline="0">
                    <a:ln w="3175">
                      <a:noFill/>
                    </a:ln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Planilha8!$B$75:$H$75</c:f>
              <c:numCache>
                <c:formatCode>_("R$"* #,##0.00_);_("R$"* \(#,##0.00\);_("R$"* "-"??_);_(@_)</c:formatCode>
                <c:ptCount val="7"/>
                <c:pt idx="0">
                  <c:v>125557.84</c:v>
                </c:pt>
                <c:pt idx="1">
                  <c:v>51175.8</c:v>
                </c:pt>
                <c:pt idx="2">
                  <c:v>58599.86</c:v>
                </c:pt>
                <c:pt idx="3">
                  <c:v>33040.65</c:v>
                </c:pt>
                <c:pt idx="4">
                  <c:v>56169.590000000004</c:v>
                </c:pt>
                <c:pt idx="5">
                  <c:v>79514.600000000006</c:v>
                </c:pt>
                <c:pt idx="6">
                  <c:v>96508.290000000008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A8-481C-B6EA-1EE8E1F122EC}"/>
            </c:ext>
          </c:extLst>
        </c:ser>
        <c:ser>
          <c:idx val="1"/>
          <c:order val="1"/>
          <c:tx>
            <c:v>ViP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3"/>
              <c:layout>
                <c:manualLayout>
                  <c:x val="0"/>
                  <c:y val="-1.799370475362522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DA8-481C-B6EA-1EE8E1F122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Planilha8!$B$76:$H$76</c:f>
              <c:numCache>
                <c:formatCode>_("R$"* #,##0.00_);_("R$"* \(#,##0.00\);_("R$"* "-"??_);_(@_)</c:formatCode>
                <c:ptCount val="7"/>
                <c:pt idx="0">
                  <c:v>115438.61</c:v>
                </c:pt>
                <c:pt idx="1">
                  <c:v>152980.56</c:v>
                </c:pt>
                <c:pt idx="2">
                  <c:v>135126.54</c:v>
                </c:pt>
                <c:pt idx="3">
                  <c:v>44258.590000000004</c:v>
                </c:pt>
                <c:pt idx="4">
                  <c:v>181721.19</c:v>
                </c:pt>
                <c:pt idx="5">
                  <c:v>293062.98</c:v>
                </c:pt>
                <c:pt idx="6">
                  <c:v>259374.28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A8-481C-B6EA-1EE8E1F122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8095264"/>
        <c:axId val="1238095744"/>
      </c:barChart>
      <c:catAx>
        <c:axId val="12380952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38095744"/>
        <c:crosses val="autoZero"/>
        <c:auto val="1"/>
        <c:lblAlgn val="ctr"/>
        <c:lblOffset val="100"/>
        <c:noMultiLvlLbl val="0"/>
      </c:catAx>
      <c:valAx>
        <c:axId val="1238095744"/>
        <c:scaling>
          <c:orientation val="minMax"/>
          <c:max val="3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38095264"/>
        <c:crosses val="autoZero"/>
        <c:crossBetween val="between"/>
        <c:majorUnit val="1000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 da Venda por Mês</a:t>
            </a:r>
          </a:p>
        </c:rich>
      </c:tx>
      <c:layout>
        <c:manualLayout>
          <c:xMode val="edge"/>
          <c:yMode val="edge"/>
          <c:x val="2.1062335958005267E-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Planilha8!$A$4</c:f>
              <c:strCache>
                <c:ptCount val="1"/>
                <c:pt idx="0">
                  <c:v>Soma de Total da Venda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>
              <a:softEdge rad="0"/>
            </a:effectLst>
            <a:scene3d>
              <a:camera prst="orthographicFront"/>
              <a:lightRig rig="threePt" dir="t"/>
            </a:scene3d>
            <a:sp3d>
              <a:bevelT w="6350" h="6350"/>
            </a:sp3d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BA6C2033-BFB7-413E-A5A2-2002F023DBF9}" type="VALUE">
                      <a:rPr lang="en-US">
                        <a:solidFill>
                          <a:schemeClr val="accent1"/>
                        </a:solidFill>
                      </a:rPr>
                      <a:pPr/>
                      <a:t>[VALOR]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9C5D-478C-9695-5200FBD39CA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5231EFB9-6C0F-452D-85B4-3148E6A5AD60}" type="VALUE">
                      <a:rPr lang="en-US">
                        <a:solidFill>
                          <a:schemeClr val="accent1"/>
                        </a:solidFill>
                      </a:rPr>
                      <a:pPr/>
                      <a:t>[VALOR]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9C5D-478C-9695-5200FBD39CA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9FD364C7-E0A6-4717-819C-EC808F215C12}" type="VALUE">
                      <a:rPr lang="en-US">
                        <a:solidFill>
                          <a:schemeClr val="accent1"/>
                        </a:solidFill>
                      </a:rPr>
                      <a:pPr/>
                      <a:t>[VALOR]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9C5D-478C-9695-5200FBD39CA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FE79DA21-DF5E-450A-A669-ACDEDE0552BA}" type="VALUE">
                      <a:rPr lang="en-US">
                        <a:solidFill>
                          <a:schemeClr val="accent1"/>
                        </a:solidFill>
                      </a:rPr>
                      <a:pPr/>
                      <a:t>[VALOR]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9C5D-478C-9695-5200FBD39CA1}"/>
                </c:ext>
              </c:extLst>
            </c:dLbl>
            <c:dLbl>
              <c:idx val="4"/>
              <c:layout>
                <c:manualLayout>
                  <c:x val="2.7777777777777779E-3"/>
                  <c:y val="-2.3148148148148147E-2"/>
                </c:manualLayout>
              </c:layout>
              <c:tx>
                <c:rich>
                  <a:bodyPr/>
                  <a:lstStyle/>
                  <a:p>
                    <a:fld id="{15093105-2B1E-40E7-8D3C-11C487233D0D}" type="VALUE">
                      <a:rPr lang="en-US">
                        <a:solidFill>
                          <a:schemeClr val="accent1"/>
                        </a:solidFill>
                      </a:rPr>
                      <a:pPr/>
                      <a:t>[VALOR]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9C5D-478C-9695-5200FBD39CA1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E9E58E75-C3DB-46C3-8454-46A3743B48FE}" type="VALUE">
                      <a:rPr lang="en-US">
                        <a:solidFill>
                          <a:schemeClr val="accent1"/>
                        </a:solidFill>
                      </a:rPr>
                      <a:pPr/>
                      <a:t>[VALOR]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9C5D-478C-9695-5200FBD39CA1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ED53B4E7-607A-4B59-988C-51CE259C7281}" type="VALUE">
                      <a:rPr lang="en-US">
                        <a:solidFill>
                          <a:schemeClr val="accent1"/>
                        </a:solidFill>
                      </a:rPr>
                      <a:pPr/>
                      <a:t>[VALOR]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6-9C5D-478C-9695-5200FBD39CA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Planilha8!$B$2:$H$3</c:f>
              <c:multiLvlStrCache>
                <c:ptCount val="7"/>
                <c:lvl>
                  <c:pt idx="0">
                    <c:v>12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</c:lvl>
                <c:lvl>
                  <c:pt idx="0">
                    <c:v>2024</c:v>
                  </c:pt>
                  <c:pt idx="1">
                    <c:v>2025</c:v>
                  </c:pt>
                </c:lvl>
              </c:multiLvlStrCache>
            </c:multiLvlStrRef>
          </c:cat>
          <c:val>
            <c:numRef>
              <c:f>Planilha8!$B$4:$H$4</c:f>
              <c:numCache>
                <c:formatCode>_("R$"* #,##0.00_);_("R$"* \(#,##0.00\);_("R$"* "-"??_);_(@_)</c:formatCode>
                <c:ptCount val="7"/>
                <c:pt idx="0">
                  <c:v>190309.99</c:v>
                </c:pt>
                <c:pt idx="1">
                  <c:v>253222.88</c:v>
                </c:pt>
                <c:pt idx="2">
                  <c:v>315849.32</c:v>
                </c:pt>
                <c:pt idx="3">
                  <c:v>287268.71999999997</c:v>
                </c:pt>
                <c:pt idx="4">
                  <c:v>298945.33</c:v>
                </c:pt>
                <c:pt idx="5">
                  <c:v>276175.40999999997</c:v>
                </c:pt>
                <c:pt idx="6">
                  <c:v>60757.73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C5D-478C-9695-5200FBD39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78244544"/>
        <c:axId val="1978243104"/>
      </c:barChart>
      <c:catAx>
        <c:axId val="1978244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78243104"/>
        <c:crosses val="autoZero"/>
        <c:auto val="1"/>
        <c:lblAlgn val="ctr"/>
        <c:lblOffset val="100"/>
        <c:noMultiLvlLbl val="0"/>
      </c:catAx>
      <c:valAx>
        <c:axId val="1978243104"/>
        <c:scaling>
          <c:orientation val="minMax"/>
          <c:max val="4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78244544"/>
        <c:crosses val="autoZero"/>
        <c:crossBetween val="between"/>
        <c:majorUnit val="10000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Porcentagem de Vendas por Categoria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Planilha8!$B$12</c:f>
              <c:strCache>
                <c:ptCount val="1"/>
                <c:pt idx="0">
                  <c:v>Soma Total de Vendas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B98-4320-8BE6-6B51BF86749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B98-4320-8BE6-6B51BF86749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B98-4320-8BE6-6B51BF86749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5B98-4320-8BE6-6B51BF86749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5B98-4320-8BE6-6B51BF867491}"/>
              </c:ext>
            </c:extLst>
          </c:dPt>
          <c:dLbls>
            <c:dLbl>
              <c:idx val="0"/>
              <c:layout>
                <c:manualLayout>
                  <c:x val="9.3536745406824245E-2"/>
                  <c:y val="-3.8054097404491105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B98-4320-8BE6-6B51BF867491}"/>
                </c:ext>
              </c:extLst>
            </c:dLbl>
            <c:dLbl>
              <c:idx val="1"/>
              <c:layout>
                <c:manualLayout>
                  <c:x val="6.2013123359579952E-2"/>
                  <c:y val="-0.12352653834937299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B98-4320-8BE6-6B51BF867491}"/>
                </c:ext>
              </c:extLst>
            </c:dLbl>
            <c:dLbl>
              <c:idx val="2"/>
              <c:layout>
                <c:manualLayout>
                  <c:x val="-0.15896325459317584"/>
                  <c:y val="-4.308107319918343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B98-4320-8BE6-6B51BF867491}"/>
                </c:ext>
              </c:extLst>
            </c:dLbl>
            <c:dLbl>
              <c:idx val="3"/>
              <c:layout>
                <c:manualLayout>
                  <c:x val="-5.2243328958880141E-2"/>
                  <c:y val="-5.639727325750947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B98-4320-8BE6-6B51BF867491}"/>
                </c:ext>
              </c:extLst>
            </c:dLbl>
            <c:dLbl>
              <c:idx val="4"/>
              <c:layout>
                <c:manualLayout>
                  <c:x val="-9.1505030621172365E-2"/>
                  <c:y val="5.9204578594342378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B98-4320-8BE6-6B51BF867491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Planilha8!$A$13:$A$17</c:f>
              <c:strCache>
                <c:ptCount val="5"/>
                <c:pt idx="0">
                  <c:v>Alimentos</c:v>
                </c:pt>
                <c:pt idx="1">
                  <c:v>Brinquedos</c:v>
                </c:pt>
                <c:pt idx="2">
                  <c:v>Eletrônicos</c:v>
                </c:pt>
                <c:pt idx="3">
                  <c:v>Móveis</c:v>
                </c:pt>
                <c:pt idx="4">
                  <c:v>Vestuário</c:v>
                </c:pt>
              </c:strCache>
            </c:strRef>
          </c:cat>
          <c:val>
            <c:numRef>
              <c:f>Planilha8!$B$13:$B$17</c:f>
              <c:numCache>
                <c:formatCode>_("R$"* #,##0.00_);_("R$"* \(#,##0.00\);_("R$"* "-"??_);_(@_)</c:formatCode>
                <c:ptCount val="5"/>
                <c:pt idx="0">
                  <c:v>378777.27</c:v>
                </c:pt>
                <c:pt idx="1">
                  <c:v>331006.07</c:v>
                </c:pt>
                <c:pt idx="2">
                  <c:v>322217.59999999992</c:v>
                </c:pt>
                <c:pt idx="3">
                  <c:v>286853.40999999992</c:v>
                </c:pt>
                <c:pt idx="4">
                  <c:v>363675.03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B98-4320-8BE6-6B51BF8674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 baseline="0"/>
              <a:t>Total de Venda por Produto (TOP 5)</a:t>
            </a:r>
          </a:p>
          <a:p>
            <a:pPr>
              <a:defRPr/>
            </a:pP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1445312491689872"/>
          <c:y val="0.23476032039796305"/>
          <c:w val="0.65512470883967944"/>
          <c:h val="0.65670973217653705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F5CD0C40-1D04-4989-A127-C5AA56E5D7F1}" type="VALUE">
                      <a:rPr lang="en-US">
                        <a:solidFill>
                          <a:schemeClr val="accent1"/>
                        </a:solidFill>
                      </a:rPr>
                      <a:pPr/>
                      <a:t>[VALOR]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7FB0-409F-8D82-72685D1192F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49DE3919-439A-4BBE-B78D-EB32958A1A47}" type="VALUE">
                      <a:rPr lang="en-US">
                        <a:solidFill>
                          <a:schemeClr val="accent1"/>
                        </a:solidFill>
                      </a:rPr>
                      <a:pPr/>
                      <a:t>[VALOR]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7FB0-409F-8D82-72685D1192F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9656177-61C2-4EE8-9E2E-9667319FD707}" type="VALUE">
                      <a:rPr lang="en-US">
                        <a:solidFill>
                          <a:schemeClr val="accent1"/>
                        </a:solidFill>
                      </a:rPr>
                      <a:pPr/>
                      <a:t>[VALOR]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7FB0-409F-8D82-72685D1192FF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1BC99C16-814D-46CB-BC85-C5220CA97590}" type="VALUE">
                      <a:rPr lang="en-US">
                        <a:solidFill>
                          <a:schemeClr val="accent1"/>
                        </a:solidFill>
                      </a:rPr>
                      <a:pPr/>
                      <a:t>[VALOR]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7FB0-409F-8D82-72685D1192FF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2726EA54-1866-404A-97C0-F1B006E63875}" type="VALUE">
                      <a:rPr lang="en-US">
                        <a:solidFill>
                          <a:schemeClr val="accent1"/>
                        </a:solidFill>
                      </a:rPr>
                      <a:pPr/>
                      <a:t>[VALOR]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7FB0-409F-8D82-72685D1192F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Planilha8!$A$23:$A$27</c:f>
              <c:strCache>
                <c:ptCount val="5"/>
                <c:pt idx="0">
                  <c:v>Jogo de Tabuleiro</c:v>
                </c:pt>
                <c:pt idx="1">
                  <c:v>Mesa</c:v>
                </c:pt>
                <c:pt idx="2">
                  <c:v>Arroz</c:v>
                </c:pt>
                <c:pt idx="3">
                  <c:v>Jaqueta</c:v>
                </c:pt>
                <c:pt idx="4">
                  <c:v>Cadeira</c:v>
                </c:pt>
              </c:strCache>
            </c:strRef>
          </c:cat>
          <c:val>
            <c:numRef>
              <c:f>Planilha8!$B$23:$B$27</c:f>
              <c:numCache>
                <c:formatCode>_("R$"* #,##0.00_);_("R$"* \(#,##0.00\);_("R$"* "-"??_);_(@_)</c:formatCode>
                <c:ptCount val="5"/>
                <c:pt idx="0">
                  <c:v>123875.68</c:v>
                </c:pt>
                <c:pt idx="1">
                  <c:v>113966.45000000001</c:v>
                </c:pt>
                <c:pt idx="2">
                  <c:v>103668.4</c:v>
                </c:pt>
                <c:pt idx="3">
                  <c:v>98081.2</c:v>
                </c:pt>
                <c:pt idx="4">
                  <c:v>96954.319999999978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FB0-409F-8D82-72685D1192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84407680"/>
        <c:axId val="1084405280"/>
      </c:barChart>
      <c:catAx>
        <c:axId val="108440768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84405280"/>
        <c:crosses val="autoZero"/>
        <c:auto val="1"/>
        <c:lblAlgn val="ctr"/>
        <c:lblOffset val="100"/>
        <c:noMultiLvlLbl val="0"/>
      </c:catAx>
      <c:valAx>
        <c:axId val="1084405280"/>
        <c:scaling>
          <c:orientation val="minMax"/>
          <c:max val="130000"/>
          <c:min val="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84407680"/>
        <c:crosses val="autoZero"/>
        <c:crossBetween val="between"/>
        <c:majorUnit val="30000"/>
        <c:minorUnit val="100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Venda por Estados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8.7618687710645932E-2"/>
          <c:y val="0.17583490948995886"/>
          <c:w val="0.79046430837734061"/>
          <c:h val="0.6890354327590667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Planilha8!$B$52:$B$53</c:f>
              <c:strCache>
                <c:ptCount val="2"/>
                <c:pt idx="0">
                  <c:v>Venda por Estados</c:v>
                </c:pt>
                <c:pt idx="1">
                  <c:v>Soma de Total da Venda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Planilha8!$A$54:$A$60</c:f>
              <c:strCache>
                <c:ptCount val="7"/>
                <c:pt idx="0">
                  <c:v>BA</c:v>
                </c:pt>
                <c:pt idx="1">
                  <c:v>PE</c:v>
                </c:pt>
                <c:pt idx="2">
                  <c:v>RS</c:v>
                </c:pt>
                <c:pt idx="3">
                  <c:v>PR</c:v>
                </c:pt>
                <c:pt idx="4">
                  <c:v>RJ</c:v>
                </c:pt>
                <c:pt idx="5">
                  <c:v>SP</c:v>
                </c:pt>
                <c:pt idx="6">
                  <c:v>MG</c:v>
                </c:pt>
              </c:strCache>
            </c:strRef>
          </c:cat>
          <c:val>
            <c:numRef>
              <c:f>Planilha8!$B$54:$B$60</c:f>
              <c:numCache>
                <c:formatCode>_("R$"* #,##0.00_);_("R$"* \(#,##0.00\);_("R$"* "-"??_);_(@_)</c:formatCode>
                <c:ptCount val="7"/>
                <c:pt idx="0">
                  <c:v>393873.35999999987</c:v>
                </c:pt>
                <c:pt idx="1">
                  <c:v>269825.89</c:v>
                </c:pt>
                <c:pt idx="2">
                  <c:v>253127.40999999997</c:v>
                </c:pt>
                <c:pt idx="3">
                  <c:v>224412.32999999993</c:v>
                </c:pt>
                <c:pt idx="4">
                  <c:v>211961.68999999994</c:v>
                </c:pt>
                <c:pt idx="5">
                  <c:v>174265.12</c:v>
                </c:pt>
                <c:pt idx="6">
                  <c:v>155063.57999999999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FA-4086-8945-E08AD85524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80268640"/>
        <c:axId val="1080263840"/>
      </c:barChart>
      <c:catAx>
        <c:axId val="108026864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80263840"/>
        <c:crosses val="autoZero"/>
        <c:auto val="1"/>
        <c:lblAlgn val="ctr"/>
        <c:lblOffset val="100"/>
        <c:noMultiLvlLbl val="0"/>
      </c:catAx>
      <c:valAx>
        <c:axId val="1080263840"/>
        <c:scaling>
          <c:orientation val="minMax"/>
          <c:max val="40000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80268640"/>
        <c:crosses val="autoZero"/>
        <c:crossBetween val="between"/>
        <c:majorUnit val="10000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/>
              <a:t>Vendas</a:t>
            </a:r>
            <a:r>
              <a:rPr lang="pt-BR" b="1" baseline="0"/>
              <a:t> Segmentadas por dia da semana</a:t>
            </a:r>
            <a:endParaRPr lang="pt-BR" b="1"/>
          </a:p>
        </c:rich>
      </c:tx>
      <c:layout>
        <c:manualLayout>
          <c:xMode val="edge"/>
          <c:yMode val="edge"/>
          <c:x val="2.6873543195213824E-2"/>
          <c:y val="1.79937047536250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4356208959216063"/>
          <c:y val="0.13347730186239096"/>
          <c:w val="0.82954367934257534"/>
          <c:h val="0.70071651782425226"/>
        </c:manualLayout>
      </c:layout>
      <c:barChart>
        <c:barDir val="col"/>
        <c:grouping val="clustered"/>
        <c:varyColors val="0"/>
        <c:ser>
          <c:idx val="0"/>
          <c:order val="0"/>
          <c:tx>
            <c:v>Não Vip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-1.799370475362516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7A2-4B07-814F-04A074960E65}"/>
                </c:ext>
              </c:extLst>
            </c:dLbl>
            <c:dLbl>
              <c:idx val="4"/>
              <c:layout>
                <c:manualLayout>
                  <c:x val="2.068787005020235E-3"/>
                  <c:y val="-3.238866855652516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7A2-4B07-814F-04A074960E6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normalizeH="0" baseline="0">
                    <a:ln w="3175">
                      <a:noFill/>
                    </a:ln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Planilha8!$B$75:$H$75</c:f>
              <c:numCache>
                <c:formatCode>_("R$"* #,##0.00_);_("R$"* \(#,##0.00\);_("R$"* "-"??_);_(@_)</c:formatCode>
                <c:ptCount val="7"/>
                <c:pt idx="0">
                  <c:v>125557.84</c:v>
                </c:pt>
                <c:pt idx="1">
                  <c:v>51175.8</c:v>
                </c:pt>
                <c:pt idx="2">
                  <c:v>58599.86</c:v>
                </c:pt>
                <c:pt idx="3">
                  <c:v>33040.65</c:v>
                </c:pt>
                <c:pt idx="4">
                  <c:v>56169.590000000004</c:v>
                </c:pt>
                <c:pt idx="5">
                  <c:v>79514.600000000006</c:v>
                </c:pt>
                <c:pt idx="6">
                  <c:v>96508.290000000008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7A2-4B07-814F-04A074960E65}"/>
            </c:ext>
          </c:extLst>
        </c:ser>
        <c:ser>
          <c:idx val="1"/>
          <c:order val="1"/>
          <c:tx>
            <c:v>ViP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3"/>
              <c:layout>
                <c:manualLayout>
                  <c:x val="0"/>
                  <c:y val="-1.799370475362522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7A2-4B07-814F-04A074960E6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Planilha8!$B$76:$H$76</c:f>
              <c:numCache>
                <c:formatCode>_("R$"* #,##0.00_);_("R$"* \(#,##0.00\);_("R$"* "-"??_);_(@_)</c:formatCode>
                <c:ptCount val="7"/>
                <c:pt idx="0">
                  <c:v>115438.61</c:v>
                </c:pt>
                <c:pt idx="1">
                  <c:v>152980.56</c:v>
                </c:pt>
                <c:pt idx="2">
                  <c:v>135126.54</c:v>
                </c:pt>
                <c:pt idx="3">
                  <c:v>44258.590000000004</c:v>
                </c:pt>
                <c:pt idx="4">
                  <c:v>181721.19</c:v>
                </c:pt>
                <c:pt idx="5">
                  <c:v>293062.98</c:v>
                </c:pt>
                <c:pt idx="6">
                  <c:v>259374.28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7A2-4B07-814F-04A074960E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8095264"/>
        <c:axId val="1238095744"/>
      </c:barChart>
      <c:catAx>
        <c:axId val="12380952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38095744"/>
        <c:crosses val="autoZero"/>
        <c:auto val="1"/>
        <c:lblAlgn val="ctr"/>
        <c:lblOffset val="100"/>
        <c:noMultiLvlLbl val="0"/>
      </c:catAx>
      <c:valAx>
        <c:axId val="1238095744"/>
        <c:scaling>
          <c:orientation val="minMax"/>
          <c:max val="3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38095264"/>
        <c:crosses val="autoZero"/>
        <c:crossBetween val="between"/>
        <c:majorUnit val="1000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400050</xdr:colOff>
      <xdr:row>3</xdr:row>
      <xdr:rowOff>14287</xdr:rowOff>
    </xdr:from>
    <xdr:to>
      <xdr:col>17</xdr:col>
      <xdr:colOff>95250</xdr:colOff>
      <xdr:row>17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53BA78C-C227-B8BA-2178-5CE8C78B42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14</xdr:row>
      <xdr:rowOff>9524</xdr:rowOff>
    </xdr:from>
    <xdr:to>
      <xdr:col>7</xdr:col>
      <xdr:colOff>685800</xdr:colOff>
      <xdr:row>24</xdr:row>
      <xdr:rowOff>171449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1C992B7-C905-4048-B7E9-19CC3DD517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938211</xdr:colOff>
      <xdr:row>26</xdr:row>
      <xdr:rowOff>180975</xdr:rowOff>
    </xdr:from>
    <xdr:to>
      <xdr:col>8</xdr:col>
      <xdr:colOff>838200</xdr:colOff>
      <xdr:row>41</xdr:row>
      <xdr:rowOff>38099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668DE83-B63F-B87B-9EB8-424CFF933C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376237</xdr:colOff>
      <xdr:row>45</xdr:row>
      <xdr:rowOff>76201</xdr:rowOff>
    </xdr:from>
    <xdr:to>
      <xdr:col>6</xdr:col>
      <xdr:colOff>619125</xdr:colOff>
      <xdr:row>61</xdr:row>
      <xdr:rowOff>66675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A49FE6E5-1A7E-C04B-19E5-C22F2D53DE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223836</xdr:colOff>
      <xdr:row>51</xdr:row>
      <xdr:rowOff>28575</xdr:rowOff>
    </xdr:from>
    <xdr:to>
      <xdr:col>16</xdr:col>
      <xdr:colOff>76199</xdr:colOff>
      <xdr:row>69</xdr:row>
      <xdr:rowOff>128587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FDDEF688-42ED-D5C5-0137-B83AAB04F7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19050</xdr:rowOff>
    </xdr:from>
    <xdr:to>
      <xdr:col>8</xdr:col>
      <xdr:colOff>28574</xdr:colOff>
      <xdr:row>26</xdr:row>
      <xdr:rowOff>95250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3C2D271-F2A2-47D4-A58D-E88DF456FF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35</xdr:row>
      <xdr:rowOff>0</xdr:rowOff>
    </xdr:from>
    <xdr:to>
      <xdr:col>7</xdr:col>
      <xdr:colOff>19050</xdr:colOff>
      <xdr:row>49</xdr:row>
      <xdr:rowOff>19050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D8573A3-AA8C-47B0-B32E-7FF56DDC40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28575</xdr:colOff>
      <xdr:row>53</xdr:row>
      <xdr:rowOff>0</xdr:rowOff>
    </xdr:from>
    <xdr:to>
      <xdr:col>8</xdr:col>
      <xdr:colOff>114300</xdr:colOff>
      <xdr:row>66</xdr:row>
      <xdr:rowOff>171450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3D40F7-4FAC-4F64-9ADA-10E94A79F3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71</xdr:row>
      <xdr:rowOff>0</xdr:rowOff>
    </xdr:from>
    <xdr:to>
      <xdr:col>8</xdr:col>
      <xdr:colOff>133350</xdr:colOff>
      <xdr:row>86</xdr:row>
      <xdr:rowOff>123825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4AD80F2-498B-4F39-B26A-73D72D1E5A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76200</xdr:colOff>
      <xdr:row>89</xdr:row>
      <xdr:rowOff>180975</xdr:rowOff>
    </xdr:from>
    <xdr:to>
      <xdr:col>10</xdr:col>
      <xdr:colOff>157163</xdr:colOff>
      <xdr:row>108</xdr:row>
      <xdr:rowOff>90487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13919912-3395-43B0-98AC-FB6998C636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ichau" refreshedDate="46119.681202777778" createdVersion="8" refreshedVersion="8" minRefreshableVersion="3" recordCount="200" xr:uid="{0DE85701-95E6-4150-A62B-3D6F3C6B9A4C}">
  <cacheSource type="worksheet">
    <worksheetSource name="Tabela1"/>
  </cacheSource>
  <cacheFields count="17">
    <cacheField name="Data da Venda" numFmtId="14">
      <sharedItems containsSemiMixedTypes="0" containsNonDate="0" containsDate="1" containsString="0" minDate="2024-12-12T00:00:00" maxDate="2025-06-11T00:00:00"/>
    </cacheField>
    <cacheField name="ID do Cliente" numFmtId="1">
      <sharedItems containsSemiMixedTypes="0" containsString="0" containsNumber="1" containsInteger="1" minValue="1070" maxValue="9988"/>
    </cacheField>
    <cacheField name="Nome do Cliente" numFmtId="49">
      <sharedItems/>
    </cacheField>
    <cacheField name="Estado" numFmtId="49">
      <sharedItems count="7">
        <s v="RS"/>
        <s v="PR"/>
        <s v="BA"/>
        <s v="SP"/>
        <s v="RJ"/>
        <s v="PE"/>
        <s v="MG"/>
      </sharedItems>
    </cacheField>
    <cacheField name="Categoria" numFmtId="49">
      <sharedItems/>
    </cacheField>
    <cacheField name="Produto" numFmtId="49">
      <sharedItems/>
    </cacheField>
    <cacheField name="Quantidade" numFmtId="12">
      <sharedItems containsSemiMixedTypes="0" containsString="0" containsNumber="1" containsInteger="1" minValue="1" maxValue="10"/>
    </cacheField>
    <cacheField name="Preço Unitário" numFmtId="165">
      <sharedItems containsSemiMixedTypes="0" containsString="0" containsNumber="1" minValue="22.36" maxValue="2985.62"/>
    </cacheField>
    <cacheField name="Total da Venda" numFmtId="165">
      <sharedItems containsSemiMixedTypes="0" containsString="0" containsNumber="1" minValue="81.180000000000007" maxValue="26662.590000000004"/>
    </cacheField>
    <cacheField name="ANO" numFmtId="0">
      <sharedItems containsSemiMixedTypes="0" containsString="0" containsNumber="1" containsInteger="1" minValue="2024" maxValue="2025"/>
    </cacheField>
    <cacheField name="MÊS" numFmtId="0">
      <sharedItems containsSemiMixedTypes="0" containsString="0" containsNumber="1" containsInteger="1" minValue="1" maxValue="12"/>
    </cacheField>
    <cacheField name="DIA" numFmtId="0">
      <sharedItems containsSemiMixedTypes="0" containsString="0" containsNumber="1" containsInteger="1" minValue="1" maxValue="31"/>
    </cacheField>
    <cacheField name="DIA  DA SEMANA" numFmtId="0">
      <sharedItems containsSemiMixedTypes="0" containsString="0" containsNumber="1" containsInteger="1" minValue="1" maxValue="7" count="7">
        <n v="6"/>
        <n v="7"/>
        <n v="1"/>
        <n v="2"/>
        <n v="5"/>
        <n v="3"/>
        <n v="4"/>
      </sharedItems>
    </cacheField>
    <cacheField name="LUCRO" numFmtId="165">
      <sharedItems containsSemiMixedTypes="0" containsString="0" containsNumber="1" minValue="32.472000000000001" maxValue="10665.036000000002"/>
    </cacheField>
    <cacheField name="GASTOS" numFmtId="165">
      <sharedItems containsSemiMixedTypes="0" containsString="0" containsNumber="1" minValue="8.1180000000000003" maxValue="2666.2590000000005"/>
    </cacheField>
    <cacheField name="ANO_MÊS" numFmtId="0">
      <sharedItems count="8">
        <s v="ANO_MÊS"/>
        <s v="2025_2"/>
        <s v="2025_4"/>
        <s v="2025_5"/>
        <s v="2025_1"/>
        <s v="2025_6"/>
        <s v="2025_3"/>
        <s v="2024_12"/>
      </sharedItems>
    </cacheField>
    <cacheField name="VIP" numFmtId="0">
      <sharedItems count="2">
        <s v="NÃO VIP"/>
        <s v="VIP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d v="2025-02-14T00:00:00"/>
    <n v="5627"/>
    <s v="Brenda Monteiro"/>
    <x v="0"/>
    <s v="Eletrônicos"/>
    <s v="Tablet"/>
    <n v="3"/>
    <n v="390.42"/>
    <n v="1171.26"/>
    <n v="2025"/>
    <n v="2"/>
    <n v="14"/>
    <x v="0"/>
    <n v="468.50400000000002"/>
    <n v="117.126"/>
    <x v="0"/>
    <x v="0"/>
  </r>
  <r>
    <d v="2025-04-19T00:00:00"/>
    <n v="1368"/>
    <s v="Nathan Mendes"/>
    <x v="1"/>
    <s v="Alimentos"/>
    <s v="Café"/>
    <n v="2"/>
    <n v="1793.52"/>
    <n v="3587.04"/>
    <n v="2025"/>
    <n v="4"/>
    <n v="19"/>
    <x v="1"/>
    <n v="1434.816"/>
    <n v="358.70400000000001"/>
    <x v="1"/>
    <x v="0"/>
  </r>
  <r>
    <d v="2025-05-11T00:00:00"/>
    <n v="3170"/>
    <s v="Dra. Mariana da Paz"/>
    <x v="2"/>
    <s v="Alimentos"/>
    <s v="Leite"/>
    <n v="9"/>
    <n v="1610.73"/>
    <n v="14496.57"/>
    <n v="2025"/>
    <n v="5"/>
    <n v="11"/>
    <x v="2"/>
    <n v="5798.6280000000006"/>
    <n v="1449.6570000000002"/>
    <x v="2"/>
    <x v="1"/>
  </r>
  <r>
    <d v="2025-01-13T00:00:00"/>
    <n v="7689"/>
    <s v="Pedro das Neves"/>
    <x v="1"/>
    <s v="Brinquedos"/>
    <s v="Jogo de Tabuleiro"/>
    <n v="8"/>
    <n v="2391.0700000000002"/>
    <n v="19128.560000000001"/>
    <n v="2025"/>
    <n v="1"/>
    <n v="13"/>
    <x v="3"/>
    <n v="7651.4240000000009"/>
    <n v="1912.8560000000002"/>
    <x v="3"/>
    <x v="1"/>
  </r>
  <r>
    <d v="2025-01-23T00:00:00"/>
    <n v="1722"/>
    <s v="Dr. João Miguel Oliveira"/>
    <x v="3"/>
    <s v="Brinquedos"/>
    <s v="Bola"/>
    <n v="8"/>
    <n v="235.34"/>
    <n v="1882.72"/>
    <n v="2025"/>
    <n v="1"/>
    <n v="23"/>
    <x v="4"/>
    <n v="753.08800000000008"/>
    <n v="188.27200000000002"/>
    <x v="4"/>
    <x v="0"/>
  </r>
  <r>
    <d v="2025-04-07T00:00:00"/>
    <n v="1825"/>
    <s v="Sr. Breno Farias"/>
    <x v="3"/>
    <s v="Eletrônicos"/>
    <s v="Monitor"/>
    <n v="2"/>
    <n v="1489.84"/>
    <n v="2979.68"/>
    <n v="2025"/>
    <n v="4"/>
    <n v="7"/>
    <x v="3"/>
    <n v="1191.8720000000001"/>
    <n v="297.96800000000002"/>
    <x v="4"/>
    <x v="0"/>
  </r>
  <r>
    <d v="2025-06-08T00:00:00"/>
    <n v="5689"/>
    <s v="Emanuel Costela"/>
    <x v="4"/>
    <s v="Eletrônicos"/>
    <s v="Notebook"/>
    <n v="8"/>
    <n v="481.94"/>
    <n v="3855.52"/>
    <n v="2025"/>
    <n v="6"/>
    <n v="8"/>
    <x v="2"/>
    <n v="1542.2080000000001"/>
    <n v="385.55200000000002"/>
    <x v="2"/>
    <x v="0"/>
  </r>
  <r>
    <d v="2025-03-14T00:00:00"/>
    <n v="9320"/>
    <s v="Marcela Rezende"/>
    <x v="2"/>
    <s v="Alimentos"/>
    <s v="Feijão"/>
    <n v="7"/>
    <n v="2406.94"/>
    <n v="16848.580000000002"/>
    <n v="2025"/>
    <n v="3"/>
    <n v="14"/>
    <x v="0"/>
    <n v="6739.4320000000007"/>
    <n v="1684.8580000000002"/>
    <x v="5"/>
    <x v="1"/>
  </r>
  <r>
    <d v="2025-04-18T00:00:00"/>
    <n v="3027"/>
    <s v="Srta. Brenda Cunha"/>
    <x v="2"/>
    <s v="Brinquedos"/>
    <s v="Quebra-Cabeça"/>
    <n v="1"/>
    <n v="2192.52"/>
    <n v="2192.52"/>
    <n v="2025"/>
    <n v="4"/>
    <n v="18"/>
    <x v="0"/>
    <n v="877.00800000000004"/>
    <n v="219.25200000000001"/>
    <x v="6"/>
    <x v="0"/>
  </r>
  <r>
    <d v="2025-02-02T00:00:00"/>
    <n v="7359"/>
    <s v="Alícia da Cunha"/>
    <x v="4"/>
    <s v="Eletrônicos"/>
    <s v="Monitor"/>
    <n v="8"/>
    <n v="1751.46"/>
    <n v="14011.68"/>
    <n v="2025"/>
    <n v="2"/>
    <n v="2"/>
    <x v="2"/>
    <n v="5604.6720000000005"/>
    <n v="1401.1680000000001"/>
    <x v="2"/>
    <x v="1"/>
  </r>
  <r>
    <d v="2025-02-18T00:00:00"/>
    <n v="2585"/>
    <s v="Davi Luiz da Cunha"/>
    <x v="0"/>
    <s v="Alimentos"/>
    <s v="Café"/>
    <n v="2"/>
    <n v="1189.6300000000001"/>
    <n v="2379.2600000000002"/>
    <n v="2025"/>
    <n v="2"/>
    <n v="18"/>
    <x v="5"/>
    <n v="951.70400000000018"/>
    <n v="237.92600000000004"/>
    <x v="1"/>
    <x v="0"/>
  </r>
  <r>
    <d v="2025-06-02T00:00:00"/>
    <n v="7884"/>
    <s v="Camila Cardoso"/>
    <x v="0"/>
    <s v="Alimentos"/>
    <s v="Café"/>
    <n v="1"/>
    <n v="1733.16"/>
    <n v="1733.16"/>
    <n v="2025"/>
    <n v="6"/>
    <n v="2"/>
    <x v="3"/>
    <n v="693.26400000000012"/>
    <n v="173.31600000000003"/>
    <x v="1"/>
    <x v="0"/>
  </r>
  <r>
    <d v="2025-01-20T00:00:00"/>
    <n v="7981"/>
    <s v="Dr. Anthony Pires"/>
    <x v="5"/>
    <s v="Brinquedos"/>
    <s v="Jogo de Tabuleiro"/>
    <n v="4"/>
    <n v="2972.09"/>
    <n v="11888.36"/>
    <n v="2025"/>
    <n v="1"/>
    <n v="20"/>
    <x v="3"/>
    <n v="4755.3440000000001"/>
    <n v="1188.836"/>
    <x v="5"/>
    <x v="1"/>
  </r>
  <r>
    <d v="2025-01-09T00:00:00"/>
    <n v="1322"/>
    <s v="Vitor Ribeiro"/>
    <x v="0"/>
    <s v="Alimentos"/>
    <s v="Leite"/>
    <n v="5"/>
    <n v="1070.3"/>
    <n v="5351.5"/>
    <n v="2025"/>
    <n v="1"/>
    <n v="9"/>
    <x v="4"/>
    <n v="2140.6"/>
    <n v="535.15"/>
    <x v="4"/>
    <x v="0"/>
  </r>
  <r>
    <d v="2025-05-20T00:00:00"/>
    <n v="3537"/>
    <s v="Maitê da Cruz"/>
    <x v="3"/>
    <s v="Vestuário"/>
    <s v="Calça Jeans"/>
    <n v="1"/>
    <n v="1263"/>
    <n v="1263"/>
    <n v="2025"/>
    <n v="5"/>
    <n v="20"/>
    <x v="5"/>
    <n v="505.20000000000005"/>
    <n v="126.30000000000001"/>
    <x v="4"/>
    <x v="0"/>
  </r>
  <r>
    <d v="2025-02-09T00:00:00"/>
    <n v="2982"/>
    <s v="Maria Clara Caldeira"/>
    <x v="2"/>
    <s v="Eletrônicos"/>
    <s v="Fone de Ouvido"/>
    <n v="2"/>
    <n v="2008.93"/>
    <n v="4017.86"/>
    <n v="2025"/>
    <n v="2"/>
    <n v="9"/>
    <x v="2"/>
    <n v="1607.1440000000002"/>
    <n v="401.78600000000006"/>
    <x v="3"/>
    <x v="0"/>
  </r>
  <r>
    <d v="2024-12-25T00:00:00"/>
    <n v="5593"/>
    <s v="Sofia Mendes"/>
    <x v="3"/>
    <s v="Vestuário"/>
    <s v="Jaqueta"/>
    <n v="5"/>
    <n v="234.04"/>
    <n v="1170.2"/>
    <n v="2024"/>
    <n v="12"/>
    <n v="25"/>
    <x v="6"/>
    <n v="468.08000000000004"/>
    <n v="117.02000000000001"/>
    <x v="1"/>
    <x v="0"/>
  </r>
  <r>
    <d v="2025-04-10T00:00:00"/>
    <n v="1305"/>
    <s v="João Felipe Cardoso"/>
    <x v="2"/>
    <s v="Brinquedos"/>
    <s v="Carrinho"/>
    <n v="8"/>
    <n v="624.63"/>
    <n v="4997.04"/>
    <n v="2025"/>
    <n v="4"/>
    <n v="10"/>
    <x v="4"/>
    <n v="1998.816"/>
    <n v="499.70400000000001"/>
    <x v="7"/>
    <x v="0"/>
  </r>
  <r>
    <d v="2025-02-22T00:00:00"/>
    <n v="6303"/>
    <s v="Maria Fernanda Jesus"/>
    <x v="4"/>
    <s v="Eletrônicos"/>
    <s v="Fone de Ouvido"/>
    <n v="4"/>
    <n v="2422.84"/>
    <n v="9691.36"/>
    <n v="2025"/>
    <n v="2"/>
    <n v="22"/>
    <x v="1"/>
    <n v="3876.5440000000003"/>
    <n v="969.13600000000008"/>
    <x v="2"/>
    <x v="0"/>
  </r>
  <r>
    <d v="2025-04-04T00:00:00"/>
    <n v="6700"/>
    <s v="Alana Peixoto"/>
    <x v="2"/>
    <s v="Eletrônicos"/>
    <s v="Fone de Ouvido"/>
    <n v="7"/>
    <n v="2205.46"/>
    <n v="15438.220000000001"/>
    <n v="2025"/>
    <n v="4"/>
    <n v="4"/>
    <x v="0"/>
    <n v="6175.2880000000005"/>
    <n v="1543.8220000000001"/>
    <x v="1"/>
    <x v="1"/>
  </r>
  <r>
    <d v="2025-04-04T00:00:00"/>
    <n v="4907"/>
    <s v="Dra. Catarina Castro"/>
    <x v="5"/>
    <s v="Eletrônicos"/>
    <s v="Tablet"/>
    <n v="10"/>
    <n v="2262.7399999999998"/>
    <n v="22627.399999999998"/>
    <n v="2025"/>
    <n v="4"/>
    <n v="4"/>
    <x v="0"/>
    <n v="9050.9599999999991"/>
    <n v="2262.7399999999998"/>
    <x v="2"/>
    <x v="1"/>
  </r>
  <r>
    <d v="2025-01-05T00:00:00"/>
    <n v="5746"/>
    <s v="Thiago Souza"/>
    <x v="0"/>
    <s v="Móveis"/>
    <s v="Cadeira"/>
    <n v="3"/>
    <n v="2806.52"/>
    <n v="8419.56"/>
    <n v="2025"/>
    <n v="1"/>
    <n v="5"/>
    <x v="2"/>
    <n v="3367.8240000000001"/>
    <n v="841.95600000000002"/>
    <x v="2"/>
    <x v="0"/>
  </r>
  <r>
    <d v="2025-04-26T00:00:00"/>
    <n v="1307"/>
    <s v="João Miguel Pires"/>
    <x v="3"/>
    <s v="Alimentos"/>
    <s v="Leite"/>
    <n v="2"/>
    <n v="2625.24"/>
    <n v="5250.48"/>
    <n v="2025"/>
    <n v="4"/>
    <n v="26"/>
    <x v="1"/>
    <n v="2100.192"/>
    <n v="525.048"/>
    <x v="4"/>
    <x v="0"/>
  </r>
  <r>
    <d v="2025-03-13T00:00:00"/>
    <n v="6638"/>
    <s v="Rafael Alves"/>
    <x v="1"/>
    <s v="Alimentos"/>
    <s v="Pão"/>
    <n v="8"/>
    <n v="2277.06"/>
    <n v="18216.48"/>
    <n v="2025"/>
    <n v="3"/>
    <n v="13"/>
    <x v="4"/>
    <n v="7286.5920000000006"/>
    <n v="1821.6480000000001"/>
    <x v="2"/>
    <x v="1"/>
  </r>
  <r>
    <d v="2025-02-04T00:00:00"/>
    <n v="7698"/>
    <s v="Eduarda Teixeira"/>
    <x v="0"/>
    <s v="Eletrônicos"/>
    <s v="Monitor"/>
    <n v="4"/>
    <n v="2315.37"/>
    <n v="9261.48"/>
    <n v="2025"/>
    <n v="2"/>
    <n v="4"/>
    <x v="5"/>
    <n v="3704.5920000000001"/>
    <n v="926.14800000000002"/>
    <x v="6"/>
    <x v="0"/>
  </r>
  <r>
    <d v="2025-01-18T00:00:00"/>
    <n v="1583"/>
    <s v="Dr. Caio Silveira"/>
    <x v="1"/>
    <s v="Vestuário"/>
    <s v="Calça Jeans"/>
    <n v="4"/>
    <n v="2912.84"/>
    <n v="11651.36"/>
    <n v="2025"/>
    <n v="1"/>
    <n v="18"/>
    <x v="1"/>
    <n v="4660.5440000000008"/>
    <n v="1165.1360000000002"/>
    <x v="1"/>
    <x v="1"/>
  </r>
  <r>
    <d v="2025-05-08T00:00:00"/>
    <n v="8542"/>
    <s v="Otávio Duarte"/>
    <x v="0"/>
    <s v="Alimentos"/>
    <s v="Leite"/>
    <n v="1"/>
    <n v="2541.62"/>
    <n v="2541.62"/>
    <n v="2025"/>
    <n v="5"/>
    <n v="8"/>
    <x v="4"/>
    <n v="1016.648"/>
    <n v="254.16200000000001"/>
    <x v="4"/>
    <x v="0"/>
  </r>
  <r>
    <d v="2025-01-27T00:00:00"/>
    <n v="3301"/>
    <s v="Lívia Caldeira"/>
    <x v="1"/>
    <s v="Vestuário"/>
    <s v="Camiseta"/>
    <n v="7"/>
    <n v="104.92"/>
    <n v="734.44"/>
    <n v="2025"/>
    <n v="1"/>
    <n v="27"/>
    <x v="3"/>
    <n v="293.77600000000001"/>
    <n v="73.444000000000003"/>
    <x v="3"/>
    <x v="0"/>
  </r>
  <r>
    <d v="2025-02-28T00:00:00"/>
    <n v="2628"/>
    <s v="Sra. Isabella Porto"/>
    <x v="6"/>
    <s v="Alimentos"/>
    <s v="Arroz"/>
    <n v="7"/>
    <n v="1970.61"/>
    <n v="13794.269999999999"/>
    <n v="2025"/>
    <n v="2"/>
    <n v="28"/>
    <x v="0"/>
    <n v="5517.7079999999996"/>
    <n v="1379.4269999999999"/>
    <x v="4"/>
    <x v="1"/>
  </r>
  <r>
    <d v="2024-12-23T00:00:00"/>
    <n v="7453"/>
    <s v="Lucas Teixeira"/>
    <x v="3"/>
    <s v="Móveis"/>
    <s v="Sofá"/>
    <n v="10"/>
    <n v="1058.3800000000001"/>
    <n v="10583.800000000001"/>
    <n v="2024"/>
    <n v="12"/>
    <n v="23"/>
    <x v="3"/>
    <n v="4233.5200000000004"/>
    <n v="1058.3800000000001"/>
    <x v="1"/>
    <x v="1"/>
  </r>
  <r>
    <d v="2025-04-13T00:00:00"/>
    <n v="6357"/>
    <s v="Luiza Barbosa"/>
    <x v="6"/>
    <s v="Brinquedos"/>
    <s v="Quebra-Cabeça"/>
    <n v="7"/>
    <n v="1150.43"/>
    <n v="8053.01"/>
    <n v="2025"/>
    <n v="4"/>
    <n v="13"/>
    <x v="2"/>
    <n v="3221.2040000000002"/>
    <n v="805.30100000000004"/>
    <x v="7"/>
    <x v="0"/>
  </r>
  <r>
    <d v="2025-06-01T00:00:00"/>
    <n v="6125"/>
    <s v="Maria Eduarda da Costa"/>
    <x v="3"/>
    <s v="Vestuário"/>
    <s v="Calça Jeans"/>
    <n v="2"/>
    <n v="603.9"/>
    <n v="1207.8"/>
    <n v="2025"/>
    <n v="6"/>
    <n v="1"/>
    <x v="2"/>
    <n v="483.12"/>
    <n v="120.78"/>
    <x v="2"/>
    <x v="0"/>
  </r>
  <r>
    <d v="2024-12-14T00:00:00"/>
    <n v="1162"/>
    <s v="Natália da Rosa"/>
    <x v="5"/>
    <s v="Vestuário"/>
    <s v="Boné"/>
    <n v="8"/>
    <n v="1148.98"/>
    <n v="9191.84"/>
    <n v="2024"/>
    <n v="12"/>
    <n v="14"/>
    <x v="1"/>
    <n v="3676.7360000000003"/>
    <n v="919.18400000000008"/>
    <x v="5"/>
    <x v="0"/>
  </r>
  <r>
    <d v="2025-01-19T00:00:00"/>
    <n v="8716"/>
    <s v="João Vitor da Mota"/>
    <x v="3"/>
    <s v="Móveis"/>
    <s v="Cama"/>
    <n v="7"/>
    <n v="588.55999999999995"/>
    <n v="4119.92"/>
    <n v="2025"/>
    <n v="1"/>
    <n v="19"/>
    <x v="2"/>
    <n v="1647.9680000000001"/>
    <n v="411.99200000000002"/>
    <x v="7"/>
    <x v="0"/>
  </r>
  <r>
    <d v="2025-02-17T00:00:00"/>
    <n v="7947"/>
    <s v="Caio Moura"/>
    <x v="3"/>
    <s v="Móveis"/>
    <s v="Cadeira"/>
    <n v="7"/>
    <n v="1737.15"/>
    <n v="12160.050000000001"/>
    <n v="2025"/>
    <n v="2"/>
    <n v="17"/>
    <x v="3"/>
    <n v="4864.0200000000004"/>
    <n v="1216.0050000000001"/>
    <x v="4"/>
    <x v="1"/>
  </r>
  <r>
    <d v="2025-02-06T00:00:00"/>
    <n v="3819"/>
    <s v="Vitor Gabriel Aragão"/>
    <x v="0"/>
    <s v="Brinquedos"/>
    <s v="Boneca"/>
    <n v="9"/>
    <n v="610.97"/>
    <n v="5498.7300000000005"/>
    <n v="2025"/>
    <n v="2"/>
    <n v="6"/>
    <x v="4"/>
    <n v="2199.4920000000002"/>
    <n v="549.87300000000005"/>
    <x v="1"/>
    <x v="0"/>
  </r>
  <r>
    <d v="2025-05-05T00:00:00"/>
    <n v="9305"/>
    <s v="Daniel Nunes"/>
    <x v="6"/>
    <s v="Alimentos"/>
    <s v="Feijão"/>
    <n v="3"/>
    <n v="366.45"/>
    <n v="1099.3499999999999"/>
    <n v="2025"/>
    <n v="5"/>
    <n v="5"/>
    <x v="3"/>
    <n v="439.74"/>
    <n v="109.935"/>
    <x v="1"/>
    <x v="0"/>
  </r>
  <r>
    <d v="2025-04-30T00:00:00"/>
    <n v="5748"/>
    <s v="André Dias"/>
    <x v="3"/>
    <s v="Brinquedos"/>
    <s v="Quebra-Cabeça"/>
    <n v="8"/>
    <n v="192.91"/>
    <n v="1543.28"/>
    <n v="2025"/>
    <n v="4"/>
    <n v="30"/>
    <x v="6"/>
    <n v="617.31200000000001"/>
    <n v="154.328"/>
    <x v="3"/>
    <x v="0"/>
  </r>
  <r>
    <d v="2025-04-01T00:00:00"/>
    <n v="8410"/>
    <s v="Ana Luiza Cavalcanti"/>
    <x v="6"/>
    <s v="Brinquedos"/>
    <s v="Boneca"/>
    <n v="9"/>
    <n v="2134.06"/>
    <n v="19206.54"/>
    <n v="2025"/>
    <n v="4"/>
    <n v="1"/>
    <x v="5"/>
    <n v="7682.6160000000009"/>
    <n v="1920.6540000000002"/>
    <x v="2"/>
    <x v="1"/>
  </r>
  <r>
    <d v="2025-02-12T00:00:00"/>
    <n v="4047"/>
    <s v="Emanuella Alves"/>
    <x v="0"/>
    <s v="Brinquedos"/>
    <s v="Jogo de Tabuleiro"/>
    <n v="8"/>
    <n v="1250.26"/>
    <n v="10002.08"/>
    <n v="2025"/>
    <n v="2"/>
    <n v="12"/>
    <x v="6"/>
    <n v="4000.8320000000003"/>
    <n v="1000.2080000000001"/>
    <x v="2"/>
    <x v="1"/>
  </r>
  <r>
    <d v="2025-02-23T00:00:00"/>
    <n v="1215"/>
    <s v="Matheus Viana"/>
    <x v="4"/>
    <s v="Vestuário"/>
    <s v="Jaqueta"/>
    <n v="8"/>
    <n v="1905.04"/>
    <n v="15240.32"/>
    <n v="2025"/>
    <n v="2"/>
    <n v="23"/>
    <x v="2"/>
    <n v="6096.1280000000006"/>
    <n v="1524.0320000000002"/>
    <x v="1"/>
    <x v="1"/>
  </r>
  <r>
    <d v="2025-01-13T00:00:00"/>
    <n v="6946"/>
    <s v="João Felipe Nunes"/>
    <x v="3"/>
    <s v="Móveis"/>
    <s v="Estante"/>
    <n v="7"/>
    <n v="197.93"/>
    <n v="1385.51"/>
    <n v="2025"/>
    <n v="1"/>
    <n v="13"/>
    <x v="3"/>
    <n v="554.20400000000006"/>
    <n v="138.55100000000002"/>
    <x v="1"/>
    <x v="0"/>
  </r>
  <r>
    <d v="2024-12-16T00:00:00"/>
    <n v="2931"/>
    <s v="Antônio Gonçalves"/>
    <x v="0"/>
    <s v="Alimentos"/>
    <s v="Pão"/>
    <n v="3"/>
    <n v="398.59"/>
    <n v="1195.77"/>
    <n v="2024"/>
    <n v="12"/>
    <n v="16"/>
    <x v="3"/>
    <n v="478.30799999999999"/>
    <n v="119.577"/>
    <x v="4"/>
    <x v="0"/>
  </r>
  <r>
    <d v="2025-03-18T00:00:00"/>
    <n v="7503"/>
    <s v="Pedro Lucas Cunha"/>
    <x v="0"/>
    <s v="Vestuário"/>
    <s v="Tênis"/>
    <n v="5"/>
    <n v="692.95"/>
    <n v="3464.75"/>
    <n v="2025"/>
    <n v="3"/>
    <n v="18"/>
    <x v="5"/>
    <n v="1385.9"/>
    <n v="346.47500000000002"/>
    <x v="7"/>
    <x v="0"/>
  </r>
  <r>
    <d v="2025-04-28T00:00:00"/>
    <n v="8478"/>
    <s v="Maria Sophia Alves"/>
    <x v="4"/>
    <s v="Vestuário"/>
    <s v="Tênis"/>
    <n v="6"/>
    <n v="2724.4"/>
    <n v="16346.400000000001"/>
    <n v="2025"/>
    <n v="4"/>
    <n v="28"/>
    <x v="3"/>
    <n v="6538.5600000000013"/>
    <n v="1634.6400000000003"/>
    <x v="6"/>
    <x v="1"/>
  </r>
  <r>
    <d v="2025-04-17T00:00:00"/>
    <n v="9631"/>
    <s v="Dra. Marina Cavalcanti"/>
    <x v="3"/>
    <s v="Brinquedos"/>
    <s v="Boneca"/>
    <n v="7"/>
    <n v="593.29999999999995"/>
    <n v="4153.0999999999995"/>
    <n v="2025"/>
    <n v="4"/>
    <n v="17"/>
    <x v="4"/>
    <n v="1661.2399999999998"/>
    <n v="415.30999999999995"/>
    <x v="2"/>
    <x v="0"/>
  </r>
  <r>
    <d v="2025-04-22T00:00:00"/>
    <n v="9239"/>
    <s v="Gustavo Henrique Vieira"/>
    <x v="1"/>
    <s v="Brinquedos"/>
    <s v="Carrinho"/>
    <n v="5"/>
    <n v="82.28"/>
    <n v="411.4"/>
    <n v="2025"/>
    <n v="4"/>
    <n v="22"/>
    <x v="5"/>
    <n v="164.56"/>
    <n v="41.14"/>
    <x v="2"/>
    <x v="0"/>
  </r>
  <r>
    <d v="2025-02-02T00:00:00"/>
    <n v="6714"/>
    <s v="Alexandre Sales"/>
    <x v="3"/>
    <s v="Brinquedos"/>
    <s v="Carrinho"/>
    <n v="3"/>
    <n v="2256.13"/>
    <n v="6768.39"/>
    <n v="2025"/>
    <n v="2"/>
    <n v="2"/>
    <x v="2"/>
    <n v="2707.3560000000002"/>
    <n v="676.83900000000006"/>
    <x v="2"/>
    <x v="0"/>
  </r>
  <r>
    <d v="2024-12-27T00:00:00"/>
    <n v="8085"/>
    <s v="Pedro Lucas Barbosa"/>
    <x v="2"/>
    <s v="Móveis"/>
    <s v="Estante"/>
    <n v="6"/>
    <n v="997.47"/>
    <n v="5984.82"/>
    <n v="2024"/>
    <n v="12"/>
    <n v="27"/>
    <x v="0"/>
    <n v="2393.9279999999999"/>
    <n v="598.48199999999997"/>
    <x v="1"/>
    <x v="0"/>
  </r>
  <r>
    <d v="2025-04-17T00:00:00"/>
    <n v="8963"/>
    <s v="Lorena Pereira"/>
    <x v="2"/>
    <s v="Vestuário"/>
    <s v="Camiseta"/>
    <n v="6"/>
    <n v="1921.29"/>
    <n v="11527.74"/>
    <n v="2025"/>
    <n v="4"/>
    <n v="17"/>
    <x v="4"/>
    <n v="4611.0960000000005"/>
    <n v="1152.7740000000001"/>
    <x v="7"/>
    <x v="1"/>
  </r>
  <r>
    <d v="2024-12-21T00:00:00"/>
    <n v="9585"/>
    <s v="Davi Silva"/>
    <x v="2"/>
    <s v="Eletrônicos"/>
    <s v="Tablet"/>
    <n v="7"/>
    <n v="923.47"/>
    <n v="6464.29"/>
    <n v="2024"/>
    <n v="12"/>
    <n v="21"/>
    <x v="1"/>
    <n v="2585.7160000000003"/>
    <n v="646.42900000000009"/>
    <x v="2"/>
    <x v="0"/>
  </r>
  <r>
    <d v="2025-05-20T00:00:00"/>
    <n v="2587"/>
    <s v="Caroline da Paz"/>
    <x v="1"/>
    <s v="Alimentos"/>
    <s v="Feijão"/>
    <n v="2"/>
    <n v="2985.62"/>
    <n v="5971.24"/>
    <n v="2025"/>
    <n v="5"/>
    <n v="20"/>
    <x v="5"/>
    <n v="2388.4960000000001"/>
    <n v="597.12400000000002"/>
    <x v="7"/>
    <x v="0"/>
  </r>
  <r>
    <d v="2025-02-22T00:00:00"/>
    <n v="5130"/>
    <s v="João Miguel Melo"/>
    <x v="2"/>
    <s v="Alimentos"/>
    <s v="Arroz"/>
    <n v="6"/>
    <n v="1114.56"/>
    <n v="6687.36"/>
    <n v="2025"/>
    <n v="2"/>
    <n v="22"/>
    <x v="1"/>
    <n v="2674.944"/>
    <n v="668.73599999999999"/>
    <x v="3"/>
    <x v="0"/>
  </r>
  <r>
    <d v="2025-03-07T00:00:00"/>
    <n v="8290"/>
    <s v="Gabriel Azevedo"/>
    <x v="2"/>
    <s v="Vestuário"/>
    <s v="Jaqueta"/>
    <n v="9"/>
    <n v="2962.51"/>
    <n v="26662.590000000004"/>
    <n v="2025"/>
    <n v="3"/>
    <n v="7"/>
    <x v="0"/>
    <n v="10665.036000000002"/>
    <n v="2666.2590000000005"/>
    <x v="1"/>
    <x v="1"/>
  </r>
  <r>
    <d v="2025-02-28T00:00:00"/>
    <n v="7951"/>
    <s v="Renan Vieira"/>
    <x v="2"/>
    <s v="Móveis"/>
    <s v="Mesa"/>
    <n v="9"/>
    <n v="2722.7"/>
    <n v="24504.3"/>
    <n v="2025"/>
    <n v="2"/>
    <n v="28"/>
    <x v="0"/>
    <n v="9801.7199999999993"/>
    <n v="2450.4299999999998"/>
    <x v="6"/>
    <x v="1"/>
  </r>
  <r>
    <d v="2024-12-27T00:00:00"/>
    <n v="2340"/>
    <s v="João Pedro Alves"/>
    <x v="0"/>
    <s v="Vestuário"/>
    <s v="Jaqueta"/>
    <n v="9"/>
    <n v="1770.78"/>
    <n v="15937.02"/>
    <n v="2024"/>
    <n v="12"/>
    <n v="27"/>
    <x v="0"/>
    <n v="6374.8080000000009"/>
    <n v="1593.7020000000002"/>
    <x v="1"/>
    <x v="1"/>
  </r>
  <r>
    <d v="2025-03-07T00:00:00"/>
    <n v="3003"/>
    <s v="Clara Viana"/>
    <x v="5"/>
    <s v="Eletrônicos"/>
    <s v="Monitor"/>
    <n v="10"/>
    <n v="1798.72"/>
    <n v="17987.2"/>
    <n v="2025"/>
    <n v="3"/>
    <n v="7"/>
    <x v="0"/>
    <n v="7194.880000000001"/>
    <n v="1798.7200000000003"/>
    <x v="7"/>
    <x v="1"/>
  </r>
  <r>
    <d v="2024-12-25T00:00:00"/>
    <n v="7341"/>
    <s v="Isadora Ferreira"/>
    <x v="5"/>
    <s v="Móveis"/>
    <s v="Mesa"/>
    <n v="9"/>
    <n v="1385.18"/>
    <n v="12466.62"/>
    <n v="2024"/>
    <n v="12"/>
    <n v="25"/>
    <x v="6"/>
    <n v="4986.648000000001"/>
    <n v="1246.6620000000003"/>
    <x v="6"/>
    <x v="1"/>
  </r>
  <r>
    <d v="2025-02-24T00:00:00"/>
    <n v="7331"/>
    <s v="Mirella da Cruz"/>
    <x v="0"/>
    <s v="Eletrônicos"/>
    <s v="Smartphone"/>
    <n v="3"/>
    <n v="1217.57"/>
    <n v="3652.71"/>
    <n v="2025"/>
    <n v="2"/>
    <n v="24"/>
    <x v="3"/>
    <n v="1461.0840000000001"/>
    <n v="365.27100000000002"/>
    <x v="7"/>
    <x v="0"/>
  </r>
  <r>
    <d v="2025-05-26T00:00:00"/>
    <n v="3189"/>
    <s v="Vitor Gabriel Moraes"/>
    <x v="4"/>
    <s v="Brinquedos"/>
    <s v="Quebra-Cabeça"/>
    <n v="1"/>
    <n v="2524.6799999999998"/>
    <n v="2524.6799999999998"/>
    <n v="2025"/>
    <n v="5"/>
    <n v="26"/>
    <x v="3"/>
    <n v="1009.872"/>
    <n v="252.46799999999999"/>
    <x v="1"/>
    <x v="0"/>
  </r>
  <r>
    <d v="2024-12-26T00:00:00"/>
    <n v="2183"/>
    <s v="Luiz Otávio Silva"/>
    <x v="2"/>
    <s v="Brinquedos"/>
    <s v="Quebra-Cabeça"/>
    <n v="4"/>
    <n v="2082.1999999999998"/>
    <n v="8328.7999999999993"/>
    <n v="2024"/>
    <n v="12"/>
    <n v="26"/>
    <x v="4"/>
    <n v="3331.52"/>
    <n v="832.88"/>
    <x v="3"/>
    <x v="0"/>
  </r>
  <r>
    <d v="2025-03-10T00:00:00"/>
    <n v="8421"/>
    <s v="Vinicius Fernandes"/>
    <x v="1"/>
    <s v="Brinquedos"/>
    <s v="Boneca"/>
    <n v="1"/>
    <n v="841.55"/>
    <n v="841.55"/>
    <n v="2025"/>
    <n v="3"/>
    <n v="10"/>
    <x v="3"/>
    <n v="336.62"/>
    <n v="84.155000000000001"/>
    <x v="7"/>
    <x v="0"/>
  </r>
  <r>
    <d v="2025-05-06T00:00:00"/>
    <n v="4392"/>
    <s v="Benício Alves"/>
    <x v="2"/>
    <s v="Vestuário"/>
    <s v="Camiseta"/>
    <n v="10"/>
    <n v="2302.59"/>
    <n v="23025.9"/>
    <n v="2025"/>
    <n v="5"/>
    <n v="6"/>
    <x v="5"/>
    <n v="9210.36"/>
    <n v="2302.59"/>
    <x v="6"/>
    <x v="1"/>
  </r>
  <r>
    <d v="2024-12-13T00:00:00"/>
    <n v="8413"/>
    <s v="João Vitor da Costa"/>
    <x v="4"/>
    <s v="Eletrônicos"/>
    <s v="Fone de Ouvido"/>
    <n v="7"/>
    <n v="215.83"/>
    <n v="1510.8100000000002"/>
    <n v="2024"/>
    <n v="12"/>
    <n v="13"/>
    <x v="0"/>
    <n v="604.32400000000007"/>
    <n v="151.08100000000002"/>
    <x v="3"/>
    <x v="0"/>
  </r>
  <r>
    <d v="2025-06-10T00:00:00"/>
    <n v="9812"/>
    <s v="Giovanna Caldeira"/>
    <x v="0"/>
    <s v="Móveis"/>
    <s v="Cama"/>
    <n v="9"/>
    <n v="934.59"/>
    <n v="8411.31"/>
    <n v="2025"/>
    <n v="6"/>
    <n v="10"/>
    <x v="5"/>
    <n v="3364.5239999999999"/>
    <n v="841.13099999999997"/>
    <x v="7"/>
    <x v="0"/>
  </r>
  <r>
    <d v="2025-04-12T00:00:00"/>
    <n v="4562"/>
    <s v="Sr. Arthur Silveira"/>
    <x v="1"/>
    <s v="Brinquedos"/>
    <s v="Carrinho"/>
    <n v="10"/>
    <n v="2094.2399999999998"/>
    <n v="20942.399999999998"/>
    <n v="2025"/>
    <n v="4"/>
    <n v="12"/>
    <x v="1"/>
    <n v="8376.9599999999991"/>
    <n v="2094.2399999999998"/>
    <x v="5"/>
    <x v="1"/>
  </r>
  <r>
    <d v="2025-01-18T00:00:00"/>
    <n v="5156"/>
    <s v="Julia Cardoso"/>
    <x v="2"/>
    <s v="Brinquedos"/>
    <s v="Bola"/>
    <n v="5"/>
    <n v="457.74"/>
    <n v="2288.6999999999998"/>
    <n v="2025"/>
    <n v="1"/>
    <n v="18"/>
    <x v="1"/>
    <n v="915.48"/>
    <n v="228.87"/>
    <x v="2"/>
    <x v="0"/>
  </r>
  <r>
    <d v="2025-04-10T00:00:00"/>
    <n v="4693"/>
    <s v="Vicente Teixeira"/>
    <x v="2"/>
    <s v="Eletrônicos"/>
    <s v="Fone de Ouvido"/>
    <n v="7"/>
    <n v="2258.73"/>
    <n v="15811.11"/>
    <n v="2025"/>
    <n v="4"/>
    <n v="10"/>
    <x v="4"/>
    <n v="6324.4440000000004"/>
    <n v="1581.1110000000001"/>
    <x v="4"/>
    <x v="1"/>
  </r>
  <r>
    <d v="2025-03-10T00:00:00"/>
    <n v="6741"/>
    <s v="Dr. Henrique Pereira"/>
    <x v="4"/>
    <s v="Eletrônicos"/>
    <s v="Notebook"/>
    <n v="9"/>
    <n v="2897.17"/>
    <n v="26074.53"/>
    <n v="2025"/>
    <n v="3"/>
    <n v="10"/>
    <x v="3"/>
    <n v="10429.812"/>
    <n v="2607.453"/>
    <x v="2"/>
    <x v="1"/>
  </r>
  <r>
    <d v="2024-12-20T00:00:00"/>
    <n v="5124"/>
    <s v="Lorena Caldeira"/>
    <x v="0"/>
    <s v="Eletrônicos"/>
    <s v="Fone de Ouvido"/>
    <n v="10"/>
    <n v="162.51"/>
    <n v="1625.1"/>
    <n v="2024"/>
    <n v="12"/>
    <n v="20"/>
    <x v="0"/>
    <n v="650.04"/>
    <n v="162.51"/>
    <x v="6"/>
    <x v="0"/>
  </r>
  <r>
    <d v="2025-05-29T00:00:00"/>
    <n v="2031"/>
    <s v="Miguel Gonçalves"/>
    <x v="2"/>
    <s v="Brinquedos"/>
    <s v="Jogo de Tabuleiro"/>
    <n v="9"/>
    <n v="2458.54"/>
    <n v="22126.86"/>
    <n v="2025"/>
    <n v="5"/>
    <n v="29"/>
    <x v="4"/>
    <n v="8850.7440000000006"/>
    <n v="2212.6860000000001"/>
    <x v="7"/>
    <x v="1"/>
  </r>
  <r>
    <d v="2024-12-19T00:00:00"/>
    <n v="4729"/>
    <s v="Carolina Araújo"/>
    <x v="0"/>
    <s v="Móveis"/>
    <s v="Cadeira"/>
    <n v="9"/>
    <n v="1811.24"/>
    <n v="16301.16"/>
    <n v="2024"/>
    <n v="12"/>
    <n v="19"/>
    <x v="4"/>
    <n v="6520.4639999999999"/>
    <n v="1630.116"/>
    <x v="3"/>
    <x v="1"/>
  </r>
  <r>
    <d v="2024-12-22T00:00:00"/>
    <n v="6804"/>
    <s v="João Felipe Moura"/>
    <x v="1"/>
    <s v="Alimentos"/>
    <s v="Feijão"/>
    <n v="1"/>
    <n v="207.49"/>
    <n v="207.49"/>
    <n v="2024"/>
    <n v="12"/>
    <n v="22"/>
    <x v="2"/>
    <n v="82.996000000000009"/>
    <n v="20.749000000000002"/>
    <x v="7"/>
    <x v="0"/>
  </r>
  <r>
    <d v="2025-03-12T00:00:00"/>
    <n v="4011"/>
    <s v="Sarah Farias"/>
    <x v="1"/>
    <s v="Brinquedos"/>
    <s v="Bola"/>
    <n v="2"/>
    <n v="801.95"/>
    <n v="1603.9"/>
    <n v="2025"/>
    <n v="3"/>
    <n v="12"/>
    <x v="6"/>
    <n v="641.56000000000006"/>
    <n v="160.39000000000001"/>
    <x v="7"/>
    <x v="0"/>
  </r>
  <r>
    <d v="2025-03-03T00:00:00"/>
    <n v="8053"/>
    <s v="Stephany Almeida"/>
    <x v="4"/>
    <s v="Vestuário"/>
    <s v="Camiseta"/>
    <n v="2"/>
    <n v="890.08"/>
    <n v="1780.16"/>
    <n v="2025"/>
    <n v="3"/>
    <n v="3"/>
    <x v="3"/>
    <n v="712.06400000000008"/>
    <n v="178.01600000000002"/>
    <x v="6"/>
    <x v="0"/>
  </r>
  <r>
    <d v="2024-12-17T00:00:00"/>
    <n v="6284"/>
    <s v="Dra. Brenda Gonçalves"/>
    <x v="0"/>
    <s v="Eletrônicos"/>
    <s v="Smartphone"/>
    <n v="10"/>
    <n v="34.15"/>
    <n v="341.5"/>
    <n v="2024"/>
    <n v="12"/>
    <n v="17"/>
    <x v="5"/>
    <n v="136.6"/>
    <n v="34.15"/>
    <x v="6"/>
    <x v="0"/>
  </r>
  <r>
    <d v="2025-02-19T00:00:00"/>
    <n v="9988"/>
    <s v="Helena Dias"/>
    <x v="0"/>
    <s v="Brinquedos"/>
    <s v="Bola"/>
    <n v="1"/>
    <n v="505.04"/>
    <n v="505.04"/>
    <n v="2025"/>
    <n v="2"/>
    <n v="19"/>
    <x v="6"/>
    <n v="202.01600000000002"/>
    <n v="50.504000000000005"/>
    <x v="7"/>
    <x v="0"/>
  </r>
  <r>
    <d v="2024-12-15T00:00:00"/>
    <n v="7336"/>
    <s v="Ryan Costa"/>
    <x v="6"/>
    <s v="Vestuário"/>
    <s v="Camiseta"/>
    <n v="3"/>
    <n v="2208.48"/>
    <n v="6625.4400000000005"/>
    <n v="2024"/>
    <n v="12"/>
    <n v="15"/>
    <x v="2"/>
    <n v="2650.1760000000004"/>
    <n v="662.5440000000001"/>
    <x v="1"/>
    <x v="0"/>
  </r>
  <r>
    <d v="2025-05-29T00:00:00"/>
    <n v="1956"/>
    <s v="Bianca Fogaça"/>
    <x v="1"/>
    <s v="Alimentos"/>
    <s v="Leite"/>
    <n v="9"/>
    <n v="2371.9899999999998"/>
    <n v="21347.909999999996"/>
    <n v="2025"/>
    <n v="5"/>
    <n v="29"/>
    <x v="4"/>
    <n v="8539.1639999999989"/>
    <n v="2134.7909999999997"/>
    <x v="7"/>
    <x v="1"/>
  </r>
  <r>
    <d v="2025-05-29T00:00:00"/>
    <n v="3703"/>
    <s v="Heitor Cardoso"/>
    <x v="0"/>
    <s v="Eletrônicos"/>
    <s v="Tablet"/>
    <n v="7"/>
    <n v="384.78"/>
    <n v="2693.46"/>
    <n v="2025"/>
    <n v="5"/>
    <n v="29"/>
    <x v="4"/>
    <n v="1077.384"/>
    <n v="269.346"/>
    <x v="3"/>
    <x v="0"/>
  </r>
  <r>
    <d v="2025-01-13T00:00:00"/>
    <n v="2482"/>
    <s v="Marcelo Cardoso"/>
    <x v="5"/>
    <s v="Móveis"/>
    <s v="Cadeira"/>
    <n v="2"/>
    <n v="999.76"/>
    <n v="1999.52"/>
    <n v="2025"/>
    <n v="1"/>
    <n v="13"/>
    <x v="3"/>
    <n v="799.80799999999999"/>
    <n v="199.952"/>
    <x v="3"/>
    <x v="0"/>
  </r>
  <r>
    <d v="2025-04-11T00:00:00"/>
    <n v="1070"/>
    <s v="Dr. Thales da Mata"/>
    <x v="1"/>
    <s v="Eletrônicos"/>
    <s v="Notebook"/>
    <n v="7"/>
    <n v="2220.94"/>
    <n v="15546.58"/>
    <n v="2025"/>
    <n v="4"/>
    <n v="11"/>
    <x v="0"/>
    <n v="6218.6320000000005"/>
    <n v="1554.6580000000001"/>
    <x v="4"/>
    <x v="1"/>
  </r>
  <r>
    <d v="2025-05-10T00:00:00"/>
    <n v="7166"/>
    <s v="Sra. Gabriela Moreira"/>
    <x v="1"/>
    <s v="Brinquedos"/>
    <s v="Jogo de Tabuleiro"/>
    <n v="10"/>
    <n v="1462.31"/>
    <n v="14623.099999999999"/>
    <n v="2025"/>
    <n v="5"/>
    <n v="10"/>
    <x v="1"/>
    <n v="5849.24"/>
    <n v="1462.31"/>
    <x v="2"/>
    <x v="1"/>
  </r>
  <r>
    <d v="2025-06-01T00:00:00"/>
    <n v="4924"/>
    <s v="Emanuelly Moreira"/>
    <x v="0"/>
    <s v="Móveis"/>
    <s v="Cadeira"/>
    <n v="4"/>
    <n v="2664.66"/>
    <n v="10658.64"/>
    <n v="2025"/>
    <n v="6"/>
    <n v="1"/>
    <x v="2"/>
    <n v="4263.4560000000001"/>
    <n v="1065.864"/>
    <x v="3"/>
    <x v="1"/>
  </r>
  <r>
    <d v="2025-05-09T00:00:00"/>
    <n v="3280"/>
    <s v="Amanda Barbosa"/>
    <x v="0"/>
    <s v="Vestuário"/>
    <s v="Tênis"/>
    <n v="10"/>
    <n v="2368.75"/>
    <n v="23687.5"/>
    <n v="2025"/>
    <n v="5"/>
    <n v="9"/>
    <x v="0"/>
    <n v="9475"/>
    <n v="2368.75"/>
    <x v="5"/>
    <x v="1"/>
  </r>
  <r>
    <d v="2025-03-21T00:00:00"/>
    <n v="6397"/>
    <s v="Lucca Oliveira"/>
    <x v="0"/>
    <s v="Alimentos"/>
    <s v="Arroz"/>
    <n v="10"/>
    <n v="2557.5"/>
    <n v="25575"/>
    <n v="2025"/>
    <n v="3"/>
    <n v="21"/>
    <x v="0"/>
    <n v="10230"/>
    <n v="2557.5"/>
    <x v="3"/>
    <x v="1"/>
  </r>
  <r>
    <d v="2025-04-27T00:00:00"/>
    <n v="5032"/>
    <s v="Laís Pires"/>
    <x v="6"/>
    <s v="Alimentos"/>
    <s v="Leite"/>
    <n v="4"/>
    <n v="56.89"/>
    <n v="227.56"/>
    <n v="2025"/>
    <n v="4"/>
    <n v="27"/>
    <x v="2"/>
    <n v="91.024000000000001"/>
    <n v="22.756"/>
    <x v="6"/>
    <x v="0"/>
  </r>
  <r>
    <d v="2025-03-15T00:00:00"/>
    <n v="4658"/>
    <s v="Matheus Peixoto"/>
    <x v="5"/>
    <s v="Móveis"/>
    <s v="Cama"/>
    <n v="7"/>
    <n v="1692.65"/>
    <n v="11848.550000000001"/>
    <n v="2025"/>
    <n v="3"/>
    <n v="15"/>
    <x v="1"/>
    <n v="4739.420000000001"/>
    <n v="1184.8550000000002"/>
    <x v="2"/>
    <x v="1"/>
  </r>
  <r>
    <d v="2025-05-30T00:00:00"/>
    <n v="7919"/>
    <s v="Bárbara Nascimento"/>
    <x v="5"/>
    <s v="Móveis"/>
    <s v="Mesa"/>
    <n v="5"/>
    <n v="1264.31"/>
    <n v="6321.5499999999993"/>
    <n v="2025"/>
    <n v="5"/>
    <n v="30"/>
    <x v="0"/>
    <n v="2528.62"/>
    <n v="632.15499999999997"/>
    <x v="6"/>
    <x v="0"/>
  </r>
  <r>
    <d v="2025-05-04T00:00:00"/>
    <n v="2848"/>
    <s v="Rafael Jesus"/>
    <x v="5"/>
    <s v="Brinquedos"/>
    <s v="Carrinho"/>
    <n v="3"/>
    <n v="1450.82"/>
    <n v="4352.46"/>
    <n v="2025"/>
    <n v="5"/>
    <n v="4"/>
    <x v="2"/>
    <n v="1740.9840000000002"/>
    <n v="435.24600000000004"/>
    <x v="3"/>
    <x v="0"/>
  </r>
  <r>
    <d v="2025-01-12T00:00:00"/>
    <n v="4728"/>
    <s v="Vitor Hugo da Conceição"/>
    <x v="0"/>
    <s v="Móveis"/>
    <s v="Cadeira"/>
    <n v="5"/>
    <n v="1835.12"/>
    <n v="9175.5999999999985"/>
    <n v="2025"/>
    <n v="1"/>
    <n v="12"/>
    <x v="2"/>
    <n v="3670.24"/>
    <n v="917.56"/>
    <x v="3"/>
    <x v="0"/>
  </r>
  <r>
    <d v="2025-03-30T00:00:00"/>
    <n v="4288"/>
    <s v="Matheus Melo"/>
    <x v="0"/>
    <s v="Brinquedos"/>
    <s v="Jogo de Tabuleiro"/>
    <n v="4"/>
    <n v="418.23"/>
    <n v="1672.92"/>
    <n v="2025"/>
    <n v="3"/>
    <n v="30"/>
    <x v="2"/>
    <n v="669.16800000000012"/>
    <n v="167.29200000000003"/>
    <x v="4"/>
    <x v="0"/>
  </r>
  <r>
    <d v="2025-05-27T00:00:00"/>
    <n v="8035"/>
    <s v="Davi Lucca Cardoso"/>
    <x v="6"/>
    <s v="Eletrônicos"/>
    <s v="Smartphone"/>
    <n v="2"/>
    <n v="40.590000000000003"/>
    <n v="81.180000000000007"/>
    <n v="2025"/>
    <n v="5"/>
    <n v="27"/>
    <x v="5"/>
    <n v="32.472000000000001"/>
    <n v="8.1180000000000003"/>
    <x v="6"/>
    <x v="0"/>
  </r>
  <r>
    <d v="2025-06-07T00:00:00"/>
    <n v="9915"/>
    <s v="Guilherme da Rocha"/>
    <x v="1"/>
    <s v="Móveis"/>
    <s v="Sofá"/>
    <n v="2"/>
    <n v="370.94"/>
    <n v="741.88"/>
    <n v="2025"/>
    <n v="6"/>
    <n v="7"/>
    <x v="1"/>
    <n v="296.75200000000001"/>
    <n v="74.188000000000002"/>
    <x v="3"/>
    <x v="0"/>
  </r>
  <r>
    <d v="2025-05-28T00:00:00"/>
    <n v="2378"/>
    <s v="Luiz Gustavo Freitas"/>
    <x v="5"/>
    <s v="Eletrônicos"/>
    <s v="Monitor"/>
    <n v="6"/>
    <n v="126.5"/>
    <n v="759"/>
    <n v="2025"/>
    <n v="5"/>
    <n v="28"/>
    <x v="6"/>
    <n v="303.60000000000002"/>
    <n v="75.900000000000006"/>
    <x v="5"/>
    <x v="0"/>
  </r>
  <r>
    <d v="2025-05-27T00:00:00"/>
    <n v="2903"/>
    <s v="Calebe Araújo"/>
    <x v="5"/>
    <s v="Alimentos"/>
    <s v="Arroz"/>
    <n v="9"/>
    <n v="1955.2"/>
    <n v="17596.8"/>
    <n v="2025"/>
    <n v="5"/>
    <n v="27"/>
    <x v="5"/>
    <n v="7038.72"/>
    <n v="1759.68"/>
    <x v="3"/>
    <x v="1"/>
  </r>
  <r>
    <d v="2025-01-17T00:00:00"/>
    <n v="7620"/>
    <s v="Renan da Paz"/>
    <x v="3"/>
    <s v="Brinquedos"/>
    <s v="Jogo de Tabuleiro"/>
    <n v="1"/>
    <n v="601.34"/>
    <n v="601.34"/>
    <n v="2025"/>
    <n v="1"/>
    <n v="17"/>
    <x v="0"/>
    <n v="240.53600000000003"/>
    <n v="60.134000000000007"/>
    <x v="3"/>
    <x v="0"/>
  </r>
  <r>
    <d v="2024-12-22T00:00:00"/>
    <n v="7232"/>
    <s v="Emanuelly Correia"/>
    <x v="6"/>
    <s v="Eletrônicos"/>
    <s v="Smartphone"/>
    <n v="1"/>
    <n v="840.27"/>
    <n v="840.27"/>
    <n v="2024"/>
    <n v="12"/>
    <n v="22"/>
    <x v="2"/>
    <n v="336.108"/>
    <n v="84.027000000000001"/>
    <x v="4"/>
    <x v="0"/>
  </r>
  <r>
    <d v="2025-02-15T00:00:00"/>
    <n v="9149"/>
    <s v="Sofia Monteiro"/>
    <x v="5"/>
    <s v="Vestuário"/>
    <s v="Boné"/>
    <n v="7"/>
    <n v="2458.52"/>
    <n v="17209.64"/>
    <n v="2025"/>
    <n v="2"/>
    <n v="15"/>
    <x v="1"/>
    <n v="6883.8559999999998"/>
    <n v="1720.9639999999999"/>
    <x v="7"/>
    <x v="1"/>
  </r>
  <r>
    <d v="2024-12-15T00:00:00"/>
    <n v="8798"/>
    <s v="Yuri Almeida"/>
    <x v="4"/>
    <s v="Alimentos"/>
    <s v="Arroz"/>
    <n v="6"/>
    <n v="1141.24"/>
    <n v="6847.4400000000005"/>
    <n v="2024"/>
    <n v="12"/>
    <n v="15"/>
    <x v="2"/>
    <n v="2738.9760000000006"/>
    <n v="684.74400000000014"/>
    <x v="1"/>
    <x v="0"/>
  </r>
  <r>
    <d v="2025-05-06T00:00:00"/>
    <n v="4708"/>
    <s v="Kaique Peixoto"/>
    <x v="3"/>
    <s v="Vestuário"/>
    <s v="Boné"/>
    <n v="3"/>
    <n v="2759.63"/>
    <n v="8278.89"/>
    <n v="2025"/>
    <n v="5"/>
    <n v="6"/>
    <x v="5"/>
    <n v="3311.556"/>
    <n v="827.88900000000001"/>
    <x v="7"/>
    <x v="0"/>
  </r>
  <r>
    <d v="2024-12-22T00:00:00"/>
    <n v="1138"/>
    <s v="Nicole Fogaça"/>
    <x v="5"/>
    <s v="Alimentos"/>
    <s v="Arroz"/>
    <n v="10"/>
    <n v="1101.76"/>
    <n v="11017.6"/>
    <n v="2024"/>
    <n v="12"/>
    <n v="22"/>
    <x v="2"/>
    <n v="4407.04"/>
    <n v="1101.76"/>
    <x v="3"/>
    <x v="1"/>
  </r>
  <r>
    <d v="2025-03-09T00:00:00"/>
    <n v="1498"/>
    <s v="Cauã da Luz"/>
    <x v="3"/>
    <s v="Alimentos"/>
    <s v="Pão"/>
    <n v="3"/>
    <n v="1257.06"/>
    <n v="3771.18"/>
    <n v="2025"/>
    <n v="3"/>
    <n v="9"/>
    <x v="2"/>
    <n v="1508.472"/>
    <n v="377.11799999999999"/>
    <x v="7"/>
    <x v="0"/>
  </r>
  <r>
    <d v="2025-02-05T00:00:00"/>
    <n v="5553"/>
    <s v="Bernardo Gomes"/>
    <x v="5"/>
    <s v="Brinquedos"/>
    <s v="Bola"/>
    <n v="7"/>
    <n v="1653.32"/>
    <n v="11573.24"/>
    <n v="2025"/>
    <n v="2"/>
    <n v="5"/>
    <x v="6"/>
    <n v="4629.2960000000003"/>
    <n v="1157.3240000000001"/>
    <x v="6"/>
    <x v="1"/>
  </r>
  <r>
    <d v="2025-01-04T00:00:00"/>
    <n v="9583"/>
    <s v="Maria Julia Almeida"/>
    <x v="3"/>
    <s v="Eletrônicos"/>
    <s v="Notebook"/>
    <n v="10"/>
    <n v="1492.2"/>
    <n v="14922"/>
    <n v="2025"/>
    <n v="1"/>
    <n v="4"/>
    <x v="1"/>
    <n v="5968.8"/>
    <n v="1492.2"/>
    <x v="1"/>
    <x v="1"/>
  </r>
  <r>
    <d v="2025-02-22T00:00:00"/>
    <n v="7054"/>
    <s v="Luiz Otávio Cavalcanti"/>
    <x v="4"/>
    <s v="Móveis"/>
    <s v="Mesa"/>
    <n v="7"/>
    <n v="1826.29"/>
    <n v="12784.029999999999"/>
    <n v="2025"/>
    <n v="2"/>
    <n v="22"/>
    <x v="1"/>
    <n v="5113.6120000000001"/>
    <n v="1278.403"/>
    <x v="4"/>
    <x v="1"/>
  </r>
  <r>
    <d v="2025-04-03T00:00:00"/>
    <n v="2731"/>
    <s v="Matheus Cavalcanti"/>
    <x v="2"/>
    <s v="Brinquedos"/>
    <s v="Jogo de Tabuleiro"/>
    <n v="8"/>
    <n v="1717.45"/>
    <n v="13739.6"/>
    <n v="2025"/>
    <n v="4"/>
    <n v="3"/>
    <x v="4"/>
    <n v="5495.84"/>
    <n v="1373.96"/>
    <x v="1"/>
    <x v="1"/>
  </r>
  <r>
    <d v="2024-12-15T00:00:00"/>
    <n v="3868"/>
    <s v="Levi Correia"/>
    <x v="6"/>
    <s v="Alimentos"/>
    <s v="Café"/>
    <n v="4"/>
    <n v="1069.52"/>
    <n v="4278.08"/>
    <n v="2024"/>
    <n v="12"/>
    <n v="15"/>
    <x v="2"/>
    <n v="1711.232"/>
    <n v="427.80799999999999"/>
    <x v="2"/>
    <x v="0"/>
  </r>
  <r>
    <d v="2025-02-26T00:00:00"/>
    <n v="1273"/>
    <s v="Alexia Viana"/>
    <x v="0"/>
    <s v="Vestuário"/>
    <s v="Jaqueta"/>
    <n v="7"/>
    <n v="384.15"/>
    <n v="2689.0499999999997"/>
    <n v="2025"/>
    <n v="2"/>
    <n v="26"/>
    <x v="6"/>
    <n v="1075.6199999999999"/>
    <n v="268.90499999999997"/>
    <x v="7"/>
    <x v="0"/>
  </r>
  <r>
    <d v="2024-12-24T00:00:00"/>
    <n v="3384"/>
    <s v="Srta. Raquel Moura"/>
    <x v="0"/>
    <s v="Vestuário"/>
    <s v="Camiseta"/>
    <n v="5"/>
    <n v="1132.81"/>
    <n v="5664.0499999999993"/>
    <n v="2024"/>
    <n v="12"/>
    <n v="24"/>
    <x v="5"/>
    <n v="2265.62"/>
    <n v="566.40499999999997"/>
    <x v="1"/>
    <x v="0"/>
  </r>
  <r>
    <d v="2025-03-17T00:00:00"/>
    <n v="3608"/>
    <s v="Luna Porto"/>
    <x v="6"/>
    <s v="Vestuário"/>
    <s v="Tênis"/>
    <n v="2"/>
    <n v="2607.2399999999998"/>
    <n v="5214.4799999999996"/>
    <n v="2025"/>
    <n v="3"/>
    <n v="17"/>
    <x v="3"/>
    <n v="2085.7919999999999"/>
    <n v="521.44799999999998"/>
    <x v="7"/>
    <x v="0"/>
  </r>
  <r>
    <d v="2025-03-30T00:00:00"/>
    <n v="2612"/>
    <s v="Arthur Peixoto"/>
    <x v="0"/>
    <s v="Vestuário"/>
    <s v="Camiseta"/>
    <n v="4"/>
    <n v="1886.77"/>
    <n v="7547.08"/>
    <n v="2025"/>
    <n v="3"/>
    <n v="30"/>
    <x v="2"/>
    <n v="3018.8320000000003"/>
    <n v="754.70800000000008"/>
    <x v="6"/>
    <x v="0"/>
  </r>
  <r>
    <d v="2025-01-28T00:00:00"/>
    <n v="2229"/>
    <s v="Dr. Yuri da Rocha"/>
    <x v="2"/>
    <s v="Móveis"/>
    <s v="Mesa"/>
    <n v="6"/>
    <n v="2273.92"/>
    <n v="13643.52"/>
    <n v="2025"/>
    <n v="1"/>
    <n v="28"/>
    <x v="5"/>
    <n v="5457.4080000000004"/>
    <n v="1364.3520000000001"/>
    <x v="6"/>
    <x v="1"/>
  </r>
  <r>
    <d v="2025-01-23T00:00:00"/>
    <n v="8924"/>
    <s v="André Sales"/>
    <x v="4"/>
    <s v="Móveis"/>
    <s v="Mesa"/>
    <n v="9"/>
    <n v="1570.37"/>
    <n v="14133.329999999998"/>
    <n v="2025"/>
    <n v="1"/>
    <n v="23"/>
    <x v="4"/>
    <n v="5653.3319999999994"/>
    <n v="1413.3329999999999"/>
    <x v="4"/>
    <x v="1"/>
  </r>
  <r>
    <d v="2025-04-06T00:00:00"/>
    <n v="7345"/>
    <s v="Maitê Souza"/>
    <x v="5"/>
    <s v="Brinquedos"/>
    <s v="Bola"/>
    <n v="2"/>
    <n v="510.08"/>
    <n v="1020.16"/>
    <n v="2025"/>
    <n v="4"/>
    <n v="6"/>
    <x v="2"/>
    <n v="408.06400000000002"/>
    <n v="102.01600000000001"/>
    <x v="4"/>
    <x v="0"/>
  </r>
  <r>
    <d v="2025-04-02T00:00:00"/>
    <n v="3138"/>
    <s v="Bárbara Correia"/>
    <x v="3"/>
    <s v="Alimentos"/>
    <s v="Arroz"/>
    <n v="5"/>
    <n v="2043.33"/>
    <n v="10216.65"/>
    <n v="2025"/>
    <n v="4"/>
    <n v="2"/>
    <x v="6"/>
    <n v="4086.66"/>
    <n v="1021.665"/>
    <x v="2"/>
    <x v="1"/>
  </r>
  <r>
    <d v="2025-01-26T00:00:00"/>
    <n v="2132"/>
    <s v="Kaique Gonçalves"/>
    <x v="6"/>
    <s v="Móveis"/>
    <s v="Estante"/>
    <n v="6"/>
    <n v="2597.6"/>
    <n v="15585.599999999999"/>
    <n v="2025"/>
    <n v="1"/>
    <n v="26"/>
    <x v="2"/>
    <n v="6234.24"/>
    <n v="1558.56"/>
    <x v="2"/>
    <x v="1"/>
  </r>
  <r>
    <d v="2025-03-02T00:00:00"/>
    <n v="9202"/>
    <s v="Sra. Lívia Lopes"/>
    <x v="4"/>
    <s v="Brinquedos"/>
    <s v="Bola"/>
    <n v="5"/>
    <n v="2533.86"/>
    <n v="12669.300000000001"/>
    <n v="2025"/>
    <n v="3"/>
    <n v="2"/>
    <x v="2"/>
    <n v="5067.7200000000012"/>
    <n v="1266.9300000000003"/>
    <x v="4"/>
    <x v="1"/>
  </r>
  <r>
    <d v="2025-04-13T00:00:00"/>
    <n v="7029"/>
    <s v="Lorena Vieira"/>
    <x v="0"/>
    <s v="Brinquedos"/>
    <s v="Boneca"/>
    <n v="9"/>
    <n v="491.42"/>
    <n v="4422.78"/>
    <n v="2025"/>
    <n v="4"/>
    <n v="13"/>
    <x v="2"/>
    <n v="1769.1120000000001"/>
    <n v="442.27800000000002"/>
    <x v="6"/>
    <x v="0"/>
  </r>
  <r>
    <d v="2025-04-05T00:00:00"/>
    <n v="6444"/>
    <s v="Giovanna Costa"/>
    <x v="4"/>
    <s v="Móveis"/>
    <s v="Cadeira"/>
    <n v="4"/>
    <n v="2161.2399999999998"/>
    <n v="8644.9599999999991"/>
    <n v="2025"/>
    <n v="4"/>
    <n v="5"/>
    <x v="1"/>
    <n v="3457.9839999999999"/>
    <n v="864.49599999999998"/>
    <x v="2"/>
    <x v="0"/>
  </r>
  <r>
    <d v="2025-01-13T00:00:00"/>
    <n v="7530"/>
    <s v="Daniela Rocha"/>
    <x v="2"/>
    <s v="Eletrônicos"/>
    <s v="Notebook"/>
    <n v="2"/>
    <n v="2691.05"/>
    <n v="5382.1"/>
    <n v="2025"/>
    <n v="1"/>
    <n v="13"/>
    <x v="3"/>
    <n v="2152.84"/>
    <n v="538.21"/>
    <x v="2"/>
    <x v="0"/>
  </r>
  <r>
    <d v="2025-02-21T00:00:00"/>
    <n v="8128"/>
    <s v="Carolina Martins"/>
    <x v="1"/>
    <s v="Vestuário"/>
    <s v="Tênis"/>
    <n v="3"/>
    <n v="51.35"/>
    <n v="154.05000000000001"/>
    <n v="2025"/>
    <n v="2"/>
    <n v="21"/>
    <x v="0"/>
    <n v="61.620000000000005"/>
    <n v="15.405000000000001"/>
    <x v="4"/>
    <x v="0"/>
  </r>
  <r>
    <d v="2025-04-18T00:00:00"/>
    <n v="9002"/>
    <s v="Francisco Monteiro"/>
    <x v="4"/>
    <s v="Eletrônicos"/>
    <s v="Notebook"/>
    <n v="8"/>
    <n v="781.16"/>
    <n v="6249.28"/>
    <n v="2025"/>
    <n v="4"/>
    <n v="18"/>
    <x v="0"/>
    <n v="2499.712"/>
    <n v="624.928"/>
    <x v="1"/>
    <x v="0"/>
  </r>
  <r>
    <d v="2025-03-16T00:00:00"/>
    <n v="3349"/>
    <s v="Nathan Teixeira"/>
    <x v="2"/>
    <s v="Eletrônicos"/>
    <s v="Tablet"/>
    <n v="8"/>
    <n v="529.78"/>
    <n v="4238.24"/>
    <n v="2025"/>
    <n v="3"/>
    <n v="16"/>
    <x v="2"/>
    <n v="1695.296"/>
    <n v="423.82400000000001"/>
    <x v="2"/>
    <x v="0"/>
  </r>
  <r>
    <d v="2025-02-21T00:00:00"/>
    <n v="2961"/>
    <s v="Erick Silveira"/>
    <x v="5"/>
    <s v="Alimentos"/>
    <s v="Café"/>
    <n v="10"/>
    <n v="1869.88"/>
    <n v="18698.800000000003"/>
    <n v="2025"/>
    <n v="2"/>
    <n v="21"/>
    <x v="0"/>
    <n v="7479.5200000000013"/>
    <n v="1869.8800000000003"/>
    <x v="6"/>
    <x v="1"/>
  </r>
  <r>
    <d v="2025-05-09T00:00:00"/>
    <n v="3360"/>
    <s v="Paulo Mendes"/>
    <x v="5"/>
    <s v="Brinquedos"/>
    <s v="Jogo de Tabuleiro"/>
    <n v="4"/>
    <n v="2032.29"/>
    <n v="8129.16"/>
    <n v="2025"/>
    <n v="5"/>
    <n v="9"/>
    <x v="0"/>
    <n v="3251.6640000000002"/>
    <n v="812.91600000000005"/>
    <x v="1"/>
    <x v="0"/>
  </r>
  <r>
    <d v="2025-05-05T00:00:00"/>
    <n v="4010"/>
    <s v="Srta. Alice Martins"/>
    <x v="1"/>
    <s v="Vestuário"/>
    <s v="Jaqueta"/>
    <n v="8"/>
    <n v="1872.52"/>
    <n v="14980.16"/>
    <n v="2025"/>
    <n v="5"/>
    <n v="5"/>
    <x v="3"/>
    <n v="5992.0640000000003"/>
    <n v="1498.0160000000001"/>
    <x v="3"/>
    <x v="1"/>
  </r>
  <r>
    <d v="2024-12-19T00:00:00"/>
    <n v="5327"/>
    <s v="Dra. Pietra Souza"/>
    <x v="4"/>
    <s v="Vestuário"/>
    <s v="Tênis"/>
    <n v="3"/>
    <n v="697.56"/>
    <n v="2092.6799999999998"/>
    <n v="2024"/>
    <n v="12"/>
    <n v="19"/>
    <x v="4"/>
    <n v="837.072"/>
    <n v="209.268"/>
    <x v="3"/>
    <x v="0"/>
  </r>
  <r>
    <d v="2025-03-28T00:00:00"/>
    <n v="6186"/>
    <s v="Cecília Duarte"/>
    <x v="1"/>
    <s v="Eletrônicos"/>
    <s v="Monitor"/>
    <n v="10"/>
    <n v="1452.23"/>
    <n v="14522.3"/>
    <n v="2025"/>
    <n v="3"/>
    <n v="28"/>
    <x v="0"/>
    <n v="5808.92"/>
    <n v="1452.23"/>
    <x v="7"/>
    <x v="1"/>
  </r>
  <r>
    <d v="2025-05-19T00:00:00"/>
    <n v="5556"/>
    <s v="Ana Clara Costela"/>
    <x v="5"/>
    <s v="Móveis"/>
    <s v="Estante"/>
    <n v="9"/>
    <n v="589.41999999999996"/>
    <n v="5304.78"/>
    <n v="2025"/>
    <n v="5"/>
    <n v="19"/>
    <x v="3"/>
    <n v="2121.9119999999998"/>
    <n v="530.47799999999995"/>
    <x v="6"/>
    <x v="0"/>
  </r>
  <r>
    <d v="2025-02-20T00:00:00"/>
    <n v="3774"/>
    <s v="Dra. Emanuella Gonçalves"/>
    <x v="6"/>
    <s v="Móveis"/>
    <s v="Sofá"/>
    <n v="1"/>
    <n v="791.68"/>
    <n v="791.68"/>
    <n v="2025"/>
    <n v="2"/>
    <n v="20"/>
    <x v="4"/>
    <n v="316.67200000000003"/>
    <n v="79.168000000000006"/>
    <x v="3"/>
    <x v="0"/>
  </r>
  <r>
    <d v="2025-03-31T00:00:00"/>
    <n v="4450"/>
    <s v="Lucca Melo"/>
    <x v="2"/>
    <s v="Alimentos"/>
    <s v="Café"/>
    <n v="7"/>
    <n v="1682.66"/>
    <n v="11778.62"/>
    <n v="2025"/>
    <n v="3"/>
    <n v="31"/>
    <x v="3"/>
    <n v="4711.4480000000003"/>
    <n v="1177.8620000000001"/>
    <x v="1"/>
    <x v="1"/>
  </r>
  <r>
    <d v="2024-12-19T00:00:00"/>
    <n v="3110"/>
    <s v="Sr. Benício da Cunha"/>
    <x v="2"/>
    <s v="Eletrônicos"/>
    <s v="Monitor"/>
    <n v="10"/>
    <n v="1507.34"/>
    <n v="15073.4"/>
    <n v="2024"/>
    <n v="12"/>
    <n v="19"/>
    <x v="4"/>
    <n v="6029.3600000000006"/>
    <n v="1507.3400000000001"/>
    <x v="6"/>
    <x v="1"/>
  </r>
  <r>
    <d v="2025-01-24T00:00:00"/>
    <n v="5571"/>
    <s v="Valentina Ramos"/>
    <x v="0"/>
    <s v="Vestuário"/>
    <s v="Camiseta"/>
    <n v="9"/>
    <n v="607.82000000000005"/>
    <n v="5470.38"/>
    <n v="2025"/>
    <n v="1"/>
    <n v="24"/>
    <x v="0"/>
    <n v="2188.152"/>
    <n v="547.03800000000001"/>
    <x v="7"/>
    <x v="0"/>
  </r>
  <r>
    <d v="2025-03-18T00:00:00"/>
    <n v="3463"/>
    <s v="Lucca Castro"/>
    <x v="1"/>
    <s v="Vestuário"/>
    <s v="Boné"/>
    <n v="4"/>
    <n v="22.36"/>
    <n v="89.44"/>
    <n v="2025"/>
    <n v="3"/>
    <n v="18"/>
    <x v="5"/>
    <n v="35.776000000000003"/>
    <n v="8.9440000000000008"/>
    <x v="4"/>
    <x v="0"/>
  </r>
  <r>
    <d v="2025-03-30T00:00:00"/>
    <n v="3696"/>
    <s v="Rafaela Vieira"/>
    <x v="2"/>
    <s v="Móveis"/>
    <s v="Cadeira"/>
    <n v="1"/>
    <n v="2660.26"/>
    <n v="2660.26"/>
    <n v="2025"/>
    <n v="3"/>
    <n v="30"/>
    <x v="2"/>
    <n v="1064.104"/>
    <n v="266.02600000000001"/>
    <x v="6"/>
    <x v="0"/>
  </r>
  <r>
    <d v="2025-03-15T00:00:00"/>
    <n v="6151"/>
    <s v="Gabrielly Dias"/>
    <x v="2"/>
    <s v="Alimentos"/>
    <s v="Leite"/>
    <n v="8"/>
    <n v="2756.99"/>
    <n v="22055.919999999998"/>
    <n v="2025"/>
    <n v="3"/>
    <n v="15"/>
    <x v="1"/>
    <n v="8822.3680000000004"/>
    <n v="2205.5920000000001"/>
    <x v="6"/>
    <x v="1"/>
  </r>
  <r>
    <d v="2025-05-01T00:00:00"/>
    <n v="2197"/>
    <s v="João Lucas Ribeiro"/>
    <x v="0"/>
    <s v="Móveis"/>
    <s v="Cama"/>
    <n v="1"/>
    <n v="1350.68"/>
    <n v="1350.68"/>
    <n v="2025"/>
    <n v="5"/>
    <n v="1"/>
    <x v="4"/>
    <n v="540.27200000000005"/>
    <n v="135.06800000000001"/>
    <x v="6"/>
    <x v="0"/>
  </r>
  <r>
    <d v="2025-01-03T00:00:00"/>
    <n v="8825"/>
    <s v="Luiz Henrique Pereira"/>
    <x v="6"/>
    <s v="Eletrônicos"/>
    <s v="Smartphone"/>
    <n v="7"/>
    <n v="1498.73"/>
    <n v="10491.11"/>
    <n v="2025"/>
    <n v="1"/>
    <n v="3"/>
    <x v="0"/>
    <n v="4196.4440000000004"/>
    <n v="1049.1110000000001"/>
    <x v="3"/>
    <x v="1"/>
  </r>
  <r>
    <d v="2025-01-27T00:00:00"/>
    <n v="8380"/>
    <s v="Thiago Azevedo"/>
    <x v="3"/>
    <s v="Móveis"/>
    <s v="Cadeira"/>
    <n v="5"/>
    <n v="721.18"/>
    <n v="3605.8999999999996"/>
    <n v="2025"/>
    <n v="1"/>
    <n v="27"/>
    <x v="3"/>
    <n v="1442.36"/>
    <n v="360.59"/>
    <x v="4"/>
    <x v="0"/>
  </r>
  <r>
    <d v="2024-12-12T00:00:00"/>
    <n v="3485"/>
    <s v="Fernando Nascimento"/>
    <x v="4"/>
    <s v="Eletrônicos"/>
    <s v="Monitor"/>
    <n v="2"/>
    <n v="294.04000000000002"/>
    <n v="588.08000000000004"/>
    <n v="2024"/>
    <n v="12"/>
    <n v="12"/>
    <x v="4"/>
    <n v="235.23200000000003"/>
    <n v="58.808000000000007"/>
    <x v="4"/>
    <x v="0"/>
  </r>
  <r>
    <d v="2025-01-22T00:00:00"/>
    <n v="1712"/>
    <s v="Ian Pereira"/>
    <x v="2"/>
    <s v="Eletrônicos"/>
    <s v="Fone de Ouvido"/>
    <n v="7"/>
    <n v="464.28"/>
    <n v="3249.96"/>
    <n v="2025"/>
    <n v="1"/>
    <n v="22"/>
    <x v="6"/>
    <n v="1299.9840000000002"/>
    <n v="324.99600000000004"/>
    <x v="7"/>
    <x v="0"/>
  </r>
  <r>
    <d v="2025-05-03T00:00:00"/>
    <n v="4059"/>
    <s v="Luigi Pires"/>
    <x v="4"/>
    <s v="Eletrônicos"/>
    <s v="Notebook"/>
    <n v="10"/>
    <n v="520.70000000000005"/>
    <n v="5207"/>
    <n v="2025"/>
    <n v="5"/>
    <n v="3"/>
    <x v="1"/>
    <n v="2082.8000000000002"/>
    <n v="520.70000000000005"/>
    <x v="4"/>
    <x v="0"/>
  </r>
  <r>
    <d v="2025-01-12T00:00:00"/>
    <n v="9550"/>
    <s v="Dr. Caio Viana"/>
    <x v="3"/>
    <s v="Alimentos"/>
    <s v="Feijão"/>
    <n v="4"/>
    <n v="1520.8"/>
    <n v="6083.2"/>
    <n v="2025"/>
    <n v="1"/>
    <n v="12"/>
    <x v="2"/>
    <n v="2433.2800000000002"/>
    <n v="608.32000000000005"/>
    <x v="3"/>
    <x v="0"/>
  </r>
  <r>
    <d v="2025-04-12T00:00:00"/>
    <n v="9365"/>
    <s v="Benjamin Duarte"/>
    <x v="0"/>
    <s v="Vestuário"/>
    <s v="Boné"/>
    <n v="8"/>
    <n v="976.21"/>
    <n v="7809.68"/>
    <n v="2025"/>
    <n v="4"/>
    <n v="12"/>
    <x v="1"/>
    <n v="3123.8720000000003"/>
    <n v="780.96800000000007"/>
    <x v="4"/>
    <x v="0"/>
  </r>
  <r>
    <d v="2025-01-11T00:00:00"/>
    <n v="9652"/>
    <s v="Sra. Ana Laura da Conceição"/>
    <x v="0"/>
    <s v="Vestuário"/>
    <s v="Camiseta"/>
    <n v="1"/>
    <n v="1754.65"/>
    <n v="1754.65"/>
    <n v="2025"/>
    <n v="1"/>
    <n v="11"/>
    <x v="1"/>
    <n v="701.86000000000013"/>
    <n v="175.46500000000003"/>
    <x v="2"/>
    <x v="0"/>
  </r>
  <r>
    <d v="2025-03-25T00:00:00"/>
    <n v="1619"/>
    <s v="Juan da Mata"/>
    <x v="6"/>
    <s v="Vestuário"/>
    <s v="Calça Jeans"/>
    <n v="10"/>
    <n v="1588.87"/>
    <n v="15888.699999999999"/>
    <n v="2025"/>
    <n v="3"/>
    <n v="25"/>
    <x v="5"/>
    <n v="6355.48"/>
    <n v="1588.87"/>
    <x v="4"/>
    <x v="1"/>
  </r>
  <r>
    <d v="2025-01-10T00:00:00"/>
    <n v="5970"/>
    <s v="Lucca Nascimento"/>
    <x v="5"/>
    <s v="Brinquedos"/>
    <s v="Quebra-Cabeça"/>
    <n v="2"/>
    <n v="2631.91"/>
    <n v="5263.82"/>
    <n v="2025"/>
    <n v="1"/>
    <n v="10"/>
    <x v="0"/>
    <n v="2105.5279999999998"/>
    <n v="526.38199999999995"/>
    <x v="6"/>
    <x v="0"/>
  </r>
  <r>
    <d v="2025-04-25T00:00:00"/>
    <n v="3831"/>
    <s v="Ana Júlia Melo"/>
    <x v="6"/>
    <s v="Vestuário"/>
    <s v="Camiseta"/>
    <n v="6"/>
    <n v="2364.33"/>
    <n v="14185.98"/>
    <n v="2025"/>
    <n v="4"/>
    <n v="25"/>
    <x v="0"/>
    <n v="5674.3919999999998"/>
    <n v="1418.598"/>
    <x v="4"/>
    <x v="1"/>
  </r>
  <r>
    <d v="2025-01-27T00:00:00"/>
    <n v="8894"/>
    <s v="Dr. Lucas Sales"/>
    <x v="3"/>
    <s v="Vestuário"/>
    <s v="Boné"/>
    <n v="9"/>
    <n v="341.75"/>
    <n v="3075.75"/>
    <n v="2025"/>
    <n v="1"/>
    <n v="27"/>
    <x v="3"/>
    <n v="1230.3000000000002"/>
    <n v="307.57500000000005"/>
    <x v="2"/>
    <x v="0"/>
  </r>
  <r>
    <d v="2025-05-07T00:00:00"/>
    <n v="2199"/>
    <s v="Maria Clara Rodrigues"/>
    <x v="2"/>
    <s v="Brinquedos"/>
    <s v="Jogo de Tabuleiro"/>
    <n v="3"/>
    <n v="2105.64"/>
    <n v="6316.92"/>
    <n v="2025"/>
    <n v="5"/>
    <n v="7"/>
    <x v="6"/>
    <n v="2526.768"/>
    <n v="631.69200000000001"/>
    <x v="4"/>
    <x v="0"/>
  </r>
  <r>
    <d v="2025-04-24T00:00:00"/>
    <n v="5200"/>
    <s v="Thiago Sales"/>
    <x v="6"/>
    <s v="Móveis"/>
    <s v="Cadeira"/>
    <n v="2"/>
    <n v="2146.1"/>
    <n v="4292.2"/>
    <n v="2025"/>
    <n v="4"/>
    <n v="24"/>
    <x v="4"/>
    <n v="1716.88"/>
    <n v="429.22"/>
    <x v="3"/>
    <x v="0"/>
  </r>
  <r>
    <d v="2024-12-30T00:00:00"/>
    <n v="1087"/>
    <s v="Nicolas Souza"/>
    <x v="1"/>
    <s v="Móveis"/>
    <s v="Sofá"/>
    <n v="1"/>
    <n v="2319.21"/>
    <n v="2319.21"/>
    <n v="2024"/>
    <n v="12"/>
    <n v="30"/>
    <x v="3"/>
    <n v="927.68400000000008"/>
    <n v="231.92100000000002"/>
    <x v="2"/>
    <x v="0"/>
  </r>
  <r>
    <d v="2025-04-24T00:00:00"/>
    <n v="4340"/>
    <s v="Daniela da Costa"/>
    <x v="2"/>
    <s v="Brinquedos"/>
    <s v="Bola"/>
    <n v="8"/>
    <n v="2772.87"/>
    <n v="22182.959999999999"/>
    <n v="2025"/>
    <n v="4"/>
    <n v="24"/>
    <x v="4"/>
    <n v="8873.1839999999993"/>
    <n v="2218.2959999999998"/>
    <x v="7"/>
    <x v="1"/>
  </r>
  <r>
    <d v="2025-05-10T00:00:00"/>
    <n v="6399"/>
    <s v="Levi Gomes"/>
    <x v="3"/>
    <s v="Alimentos"/>
    <s v="Leite"/>
    <n v="6"/>
    <n v="523.59"/>
    <n v="3141.54"/>
    <n v="2025"/>
    <n v="5"/>
    <n v="10"/>
    <x v="1"/>
    <n v="1256.616"/>
    <n v="314.154"/>
    <x v="2"/>
    <x v="0"/>
  </r>
  <r>
    <d v="2025-01-25T00:00:00"/>
    <n v="5784"/>
    <s v="Diogo Cavalcanti"/>
    <x v="0"/>
    <s v="Vestuário"/>
    <s v="Boné"/>
    <n v="8"/>
    <n v="2378.06"/>
    <n v="19024.48"/>
    <n v="2025"/>
    <n v="1"/>
    <n v="25"/>
    <x v="1"/>
    <n v="7609.7920000000004"/>
    <n v="1902.4480000000001"/>
    <x v="3"/>
    <x v="1"/>
  </r>
  <r>
    <d v="2025-02-21T00:00:00"/>
    <n v="5293"/>
    <s v="Pedro Henrique das Neves"/>
    <x v="1"/>
    <s v="Vestuário"/>
    <s v="Camiseta"/>
    <n v="5"/>
    <n v="182.58"/>
    <n v="912.90000000000009"/>
    <n v="2025"/>
    <n v="2"/>
    <n v="21"/>
    <x v="0"/>
    <n v="365.16000000000008"/>
    <n v="91.29000000000002"/>
    <x v="4"/>
    <x v="0"/>
  </r>
  <r>
    <d v="2025-02-15T00:00:00"/>
    <n v="9898"/>
    <s v="Ana Beatriz Martins"/>
    <x v="4"/>
    <s v="Alimentos"/>
    <s v="Café"/>
    <n v="9"/>
    <n v="2905.37"/>
    <n v="26148.329999999998"/>
    <n v="2025"/>
    <n v="2"/>
    <n v="15"/>
    <x v="1"/>
    <n v="10459.332"/>
    <n v="2614.8330000000001"/>
    <x v="1"/>
    <x v="1"/>
  </r>
  <r>
    <d v="2025-04-13T00:00:00"/>
    <n v="5554"/>
    <s v="Ian Santos"/>
    <x v="1"/>
    <s v="Móveis"/>
    <s v="Mesa"/>
    <n v="3"/>
    <n v="2495.1"/>
    <n v="7485.2999999999993"/>
    <n v="2025"/>
    <n v="4"/>
    <n v="13"/>
    <x v="2"/>
    <n v="2994.12"/>
    <n v="748.53"/>
    <x v="1"/>
    <x v="0"/>
  </r>
  <r>
    <d v="2024-12-25T00:00:00"/>
    <n v="9471"/>
    <s v="Raquel Novaes"/>
    <x v="1"/>
    <s v="Brinquedos"/>
    <s v="Boneca"/>
    <n v="10"/>
    <n v="984.74"/>
    <n v="9847.4"/>
    <n v="2024"/>
    <n v="12"/>
    <n v="25"/>
    <x v="6"/>
    <n v="3938.96"/>
    <n v="984.74"/>
    <x v="2"/>
    <x v="0"/>
  </r>
  <r>
    <d v="2025-05-01T00:00:00"/>
    <n v="1960"/>
    <s v="Ana Luiza Castro"/>
    <x v="5"/>
    <s v="Alimentos"/>
    <s v="Leite"/>
    <n v="5"/>
    <n v="220.11"/>
    <n v="1100.5500000000002"/>
    <n v="2025"/>
    <n v="5"/>
    <n v="1"/>
    <x v="4"/>
    <n v="440.22000000000008"/>
    <n v="110.05500000000002"/>
    <x v="7"/>
    <x v="0"/>
  </r>
  <r>
    <d v="2025-04-13T00:00:00"/>
    <n v="1639"/>
    <s v="Rafaela Silva"/>
    <x v="6"/>
    <s v="Brinquedos"/>
    <s v="Boneca"/>
    <n v="3"/>
    <n v="1042.55"/>
    <n v="3127.6499999999996"/>
    <n v="2025"/>
    <n v="4"/>
    <n v="13"/>
    <x v="2"/>
    <n v="1251.06"/>
    <n v="312.76499999999999"/>
    <x v="3"/>
    <x v="0"/>
  </r>
  <r>
    <d v="2025-03-04T00:00:00"/>
    <n v="5978"/>
    <s v="Dr. João Miguel Monteiro"/>
    <x v="1"/>
    <s v="Eletrônicos"/>
    <s v="Tablet"/>
    <n v="10"/>
    <n v="1674.7"/>
    <n v="16747"/>
    <n v="2025"/>
    <n v="3"/>
    <n v="4"/>
    <x v="5"/>
    <n v="6698.8"/>
    <n v="1674.7"/>
    <x v="2"/>
    <x v="1"/>
  </r>
  <r>
    <d v="2024-12-29T00:00:00"/>
    <n v="6117"/>
    <s v="Heloísa da Rosa"/>
    <x v="2"/>
    <s v="Alimentos"/>
    <s v="Feijão"/>
    <n v="6"/>
    <n v="896.99"/>
    <n v="5381.9400000000005"/>
    <n v="2024"/>
    <n v="12"/>
    <n v="29"/>
    <x v="2"/>
    <n v="2152.7760000000003"/>
    <n v="538.19400000000007"/>
    <x v="6"/>
    <x v="0"/>
  </r>
  <r>
    <d v="2025-06-02T00:00:00"/>
    <n v="2994"/>
    <s v="Sofia Lima"/>
    <x v="5"/>
    <s v="Móveis"/>
    <s v="Mesa"/>
    <n v="8"/>
    <n v="2263.35"/>
    <n v="18106.8"/>
    <n v="2025"/>
    <n v="6"/>
    <n v="2"/>
    <x v="3"/>
    <n v="7242.72"/>
    <n v="1810.68"/>
    <x v="7"/>
    <x v="1"/>
  </r>
  <r>
    <d v="2025-06-06T00:00:00"/>
    <n v="2405"/>
    <s v="Stephany Rodrigues"/>
    <x v="0"/>
    <s v="Móveis"/>
    <s v="Cadeira"/>
    <n v="8"/>
    <n v="1072.44"/>
    <n v="8579.52"/>
    <n v="2025"/>
    <n v="6"/>
    <n v="6"/>
    <x v="0"/>
    <n v="3431.8080000000004"/>
    <n v="857.95200000000011"/>
    <x v="5"/>
    <x v="0"/>
  </r>
  <r>
    <d v="2025-02-12T00:00:00"/>
    <n v="9128"/>
    <s v="Vitor Gabriel da Paz"/>
    <x v="1"/>
    <s v="Vestuário"/>
    <s v="Jaqueta"/>
    <n v="6"/>
    <n v="892.65"/>
    <n v="5355.9"/>
    <n v="2025"/>
    <n v="2"/>
    <n v="12"/>
    <x v="6"/>
    <n v="2142.36"/>
    <n v="535.59"/>
    <x v="5"/>
    <x v="0"/>
  </r>
  <r>
    <d v="2024-12-21T00:00:00"/>
    <n v="7030"/>
    <s v="Benjamin Alves"/>
    <x v="0"/>
    <s v="Brinquedos"/>
    <s v="Jogo de Tabuleiro"/>
    <n v="8"/>
    <n v="1022.96"/>
    <n v="8183.68"/>
    <n v="2024"/>
    <n v="12"/>
    <n v="21"/>
    <x v="1"/>
    <n v="3273.4720000000002"/>
    <n v="818.36800000000005"/>
    <x v="1"/>
    <x v="0"/>
  </r>
  <r>
    <d v="2025-03-29T00:00:00"/>
    <n v="3470"/>
    <s v="Dr. Ryan Santos"/>
    <x v="1"/>
    <s v="Alimentos"/>
    <s v="Leite"/>
    <n v="5"/>
    <n v="637.16999999999996"/>
    <n v="3185.85"/>
    <n v="2025"/>
    <n v="3"/>
    <n v="29"/>
    <x v="1"/>
    <n v="1274.3400000000001"/>
    <n v="318.58500000000004"/>
    <x v="7"/>
    <x v="0"/>
  </r>
  <r>
    <d v="2025-02-04T00:00:00"/>
    <n v="6695"/>
    <s v="Bárbara Correia"/>
    <x v="2"/>
    <s v="Vestuário"/>
    <s v="Calça Jeans"/>
    <n v="4"/>
    <n v="1182.29"/>
    <n v="4729.16"/>
    <n v="2025"/>
    <n v="2"/>
    <n v="4"/>
    <x v="5"/>
    <n v="1891.664"/>
    <n v="472.916"/>
    <x v="6"/>
    <x v="0"/>
  </r>
  <r>
    <d v="2025-01-19T00:00:00"/>
    <n v="7831"/>
    <s v="Elisa Ramos"/>
    <x v="3"/>
    <s v="Vestuário"/>
    <s v="Tênis"/>
    <n v="10"/>
    <n v="2175.89"/>
    <n v="21758.899999999998"/>
    <n v="2025"/>
    <n v="1"/>
    <n v="19"/>
    <x v="2"/>
    <n v="8703.56"/>
    <n v="2175.89"/>
    <x v="1"/>
    <x v="1"/>
  </r>
  <r>
    <d v="2025-04-05T00:00:00"/>
    <n v="2219"/>
    <s v="Pedro Sales"/>
    <x v="3"/>
    <s v="Alimentos"/>
    <s v="Café"/>
    <n v="5"/>
    <n v="2426.59"/>
    <n v="12132.95"/>
    <n v="2025"/>
    <n v="4"/>
    <n v="5"/>
    <x v="1"/>
    <n v="4853.18"/>
    <n v="1213.2950000000001"/>
    <x v="4"/>
    <x v="1"/>
  </r>
  <r>
    <d v="2025-03-31T00:00:00"/>
    <n v="4959"/>
    <s v="Milena Cavalcanti"/>
    <x v="2"/>
    <s v="Móveis"/>
    <s v="Sofá"/>
    <n v="3"/>
    <n v="1022.47"/>
    <n v="3067.41"/>
    <n v="2025"/>
    <n v="3"/>
    <n v="31"/>
    <x v="3"/>
    <n v="1226.9639999999999"/>
    <n v="306.74099999999999"/>
    <x v="2"/>
    <x v="0"/>
  </r>
  <r>
    <d v="2025-05-23T00:00:00"/>
    <n v="6541"/>
    <s v="Dr. Vitor Rezende"/>
    <x v="6"/>
    <s v="Vestuário"/>
    <s v="Calça Jeans"/>
    <n v="2"/>
    <n v="916.94"/>
    <n v="1833.88"/>
    <n v="2025"/>
    <n v="5"/>
    <n v="23"/>
    <x v="0"/>
    <n v="733.55200000000013"/>
    <n v="183.38800000000003"/>
    <x v="6"/>
    <x v="0"/>
  </r>
  <r>
    <d v="2025-02-20T00:00:00"/>
    <n v="5607"/>
    <s v="Sra. Yasmin Freitas"/>
    <x v="2"/>
    <s v="Móveis"/>
    <s v="Sofá"/>
    <n v="1"/>
    <n v="1157.8499999999999"/>
    <n v="1157.8499999999999"/>
    <n v="2025"/>
    <n v="2"/>
    <n v="20"/>
    <x v="4"/>
    <n v="463.14"/>
    <n v="115.785"/>
    <x v="3"/>
    <x v="0"/>
  </r>
  <r>
    <d v="2025-05-24T00:00:00"/>
    <n v="6352"/>
    <s v="Luiza Carvalho"/>
    <x v="5"/>
    <s v="Eletrônicos"/>
    <s v="Smartphone"/>
    <n v="10"/>
    <n v="2350.6999999999998"/>
    <n v="23507"/>
    <n v="2025"/>
    <n v="5"/>
    <n v="24"/>
    <x v="1"/>
    <n v="9402.8000000000011"/>
    <n v="2350.7000000000003"/>
    <x v="1"/>
    <x v="1"/>
  </r>
  <r>
    <d v="2025-01-23T00:00:00"/>
    <n v="9109"/>
    <s v="Eduardo Alves"/>
    <x v="1"/>
    <s v="Alimentos"/>
    <s v="Pão"/>
    <n v="6"/>
    <n v="1558.15"/>
    <n v="9348.9000000000015"/>
    <n v="2025"/>
    <n v="1"/>
    <n v="23"/>
    <x v="4"/>
    <n v="3739.5600000000009"/>
    <n v="934.89000000000021"/>
    <x v="3"/>
    <x v="0"/>
  </r>
  <r>
    <d v="2025-06-10T00:00:00"/>
    <n v="4273"/>
    <s v="Renan Nogueira"/>
    <x v="2"/>
    <s v="Brinquedos"/>
    <s v="Jogo de Tabuleiro"/>
    <n v="10"/>
    <n v="746.31"/>
    <n v="7463.0999999999995"/>
    <n v="2025"/>
    <n v="6"/>
    <n v="10"/>
    <x v="5"/>
    <n v="2985.24"/>
    <n v="746.31"/>
    <x v="4"/>
    <x v="0"/>
  </r>
  <r>
    <d v="2025-05-27T00:00:00"/>
    <n v="4776"/>
    <s v="Dr. André Cunha"/>
    <x v="2"/>
    <s v="Alimentos"/>
    <s v="Leite"/>
    <n v="10"/>
    <n v="1081.3599999999999"/>
    <n v="10813.599999999999"/>
    <n v="2025"/>
    <n v="5"/>
    <n v="27"/>
    <x v="5"/>
    <n v="4325.4399999999996"/>
    <n v="1081.3599999999999"/>
    <x v="5"/>
    <x v="1"/>
  </r>
  <r>
    <d v="2025-01-06T00:00:00"/>
    <n v="1549"/>
    <s v="Ryan Moraes"/>
    <x v="0"/>
    <s v="Móveis"/>
    <s v="Sofá"/>
    <n v="4"/>
    <n v="819.91"/>
    <n v="3279.64"/>
    <n v="2025"/>
    <n v="1"/>
    <n v="6"/>
    <x v="3"/>
    <n v="1311.856"/>
    <n v="327.964"/>
    <x v="3"/>
    <x v="0"/>
  </r>
  <r>
    <d v="2025-01-23T00:00:00"/>
    <n v="3228"/>
    <s v="Vitória Oliveira"/>
    <x v="2"/>
    <s v="Alimentos"/>
    <s v="Feijão"/>
    <n v="8"/>
    <n v="1407.58"/>
    <n v="11260.64"/>
    <n v="2025"/>
    <n v="1"/>
    <n v="23"/>
    <x v="4"/>
    <n v="4504.2560000000003"/>
    <n v="1126.0640000000001"/>
    <x v="4"/>
    <x v="1"/>
  </r>
  <r>
    <d v="2024-12-17T00:00:00"/>
    <n v="3543"/>
    <s v="Catarina Costa"/>
    <x v="3"/>
    <s v="Alimentos"/>
    <s v="Pão"/>
    <n v="5"/>
    <n v="158.02000000000001"/>
    <n v="790.1"/>
    <n v="2024"/>
    <n v="12"/>
    <n v="17"/>
    <x v="5"/>
    <n v="316.04000000000002"/>
    <n v="79.010000000000005"/>
    <x v="4"/>
    <x v="0"/>
  </r>
  <r>
    <d v="2025-02-15T00:00:00"/>
    <n v="3895"/>
    <s v="Sr. Igor da Mota"/>
    <x v="3"/>
    <s v="Vestuário"/>
    <s v="Jaqueta"/>
    <n v="7"/>
    <n v="1733.91"/>
    <n v="12137.37"/>
    <n v="2025"/>
    <n v="2"/>
    <n v="15"/>
    <x v="1"/>
    <n v="4854.9480000000003"/>
    <n v="1213.7370000000001"/>
    <x v="7"/>
    <x v="1"/>
  </r>
  <r>
    <d v="2025-03-14T00:00:00"/>
    <n v="2976"/>
    <s v="Ana Julia Gonçalves"/>
    <x v="1"/>
    <s v="Vestuário"/>
    <s v="Jaqueta"/>
    <n v="7"/>
    <n v="558.37"/>
    <n v="3908.59"/>
    <n v="2025"/>
    <n v="3"/>
    <n v="14"/>
    <x v="0"/>
    <n v="1563.4360000000001"/>
    <n v="390.85900000000004"/>
    <x v="1"/>
    <x v="0"/>
  </r>
  <r>
    <d v="2025-02-04T00:00:00"/>
    <n v="8984"/>
    <s v="Heloísa Vieira"/>
    <x v="6"/>
    <s v="Brinquedos"/>
    <s v="Boneca"/>
    <n v="9"/>
    <n v="2022.72"/>
    <n v="18204.48"/>
    <n v="2025"/>
    <n v="2"/>
    <n v="4"/>
    <x v="5"/>
    <n v="7281.7920000000004"/>
    <n v="1820.4480000000001"/>
    <x v="6"/>
    <x v="1"/>
  </r>
  <r>
    <d v="2025-04-12T00:00:00"/>
    <n v="8251"/>
    <s v="Alexandre Novaes"/>
    <x v="4"/>
    <s v="Brinquedos"/>
    <s v="Quebra-Cabeça"/>
    <n v="8"/>
    <n v="1574.21"/>
    <n v="12593.68"/>
    <n v="2025"/>
    <n v="4"/>
    <n v="12"/>
    <x v="1"/>
    <n v="5037.4720000000007"/>
    <n v="1259.3680000000002"/>
    <x v="1"/>
    <x v="1"/>
  </r>
  <r>
    <d v="2025-05-31T00:00:00"/>
    <n v="9968"/>
    <s v="Sr. João Felipe Castro"/>
    <x v="5"/>
    <s v="Móveis"/>
    <s v="Cadeira"/>
    <n v="7"/>
    <n v="1493.85"/>
    <n v="10456.949999999999"/>
    <n v="2025"/>
    <n v="5"/>
    <n v="31"/>
    <x v="1"/>
    <n v="4182.78"/>
    <n v="1045.6949999999999"/>
    <x v="2"/>
    <x v="1"/>
  </r>
  <r>
    <d v="2025-03-28T00:00:00"/>
    <n v="4023"/>
    <s v="Amanda Costela"/>
    <x v="3"/>
    <s v="Alimentos"/>
    <s v="Leite"/>
    <n v="6"/>
    <n v="1224.69"/>
    <n v="7348.14"/>
    <n v="2025"/>
    <n v="3"/>
    <n v="28"/>
    <x v="0"/>
    <n v="2939.2560000000003"/>
    <n v="734.81400000000008"/>
    <x v="3"/>
    <x v="0"/>
  </r>
  <r>
    <d v="2025-05-18T00:00:00"/>
    <n v="6139"/>
    <s v="Dr. Cauê Novaes"/>
    <x v="6"/>
    <s v="Brinquedos"/>
    <s v="Carrinho"/>
    <n v="8"/>
    <n v="363.87"/>
    <n v="2910.96"/>
    <n v="2025"/>
    <n v="5"/>
    <n v="18"/>
    <x v="2"/>
    <n v="1164.384"/>
    <n v="291.096"/>
    <x v="6"/>
    <x v="0"/>
  </r>
  <r>
    <d v="2025-05-16T00:00:00"/>
    <n v="2699"/>
    <s v="Maria Vitória Gonçalves"/>
    <x v="6"/>
    <s v="Vestuário"/>
    <s v="Tênis"/>
    <n v="4"/>
    <n v="2082.79"/>
    <n v="8331.16"/>
    <n v="2025"/>
    <n v="5"/>
    <n v="16"/>
    <x v="0"/>
    <n v="3332.4639999999999"/>
    <n v="833.11599999999999"/>
    <x v="3"/>
    <x v="0"/>
  </r>
  <r>
    <d v="2025-02-22T00:00:00"/>
    <n v="4323"/>
    <s v="Augusto Aragão"/>
    <x v="5"/>
    <s v="Alimentos"/>
    <s v="Pão"/>
    <n v="6"/>
    <n v="2889.42"/>
    <n v="17336.52"/>
    <n v="2025"/>
    <n v="2"/>
    <n v="22"/>
    <x v="1"/>
    <n v="6934.6080000000002"/>
    <n v="1733.652"/>
    <x v="3"/>
    <x v="1"/>
  </r>
  <r>
    <d v="2025-02-24T00:00:00"/>
    <n v="6078"/>
    <s v="Maria Vitória Aragão"/>
    <x v="3"/>
    <s v="Alimentos"/>
    <s v="Arroz"/>
    <n v="8"/>
    <n v="1491.66"/>
    <n v="11933.28"/>
    <n v="2025"/>
    <n v="2"/>
    <n v="24"/>
    <x v="3"/>
    <n v="4773.3120000000008"/>
    <n v="1193.3280000000002"/>
    <x v="1"/>
    <x v="1"/>
  </r>
  <r>
    <d v="2024-12-27T00:00:00"/>
    <n v="6901"/>
    <s v="Thales Pereira"/>
    <x v="2"/>
    <s v="Eletrônicos"/>
    <s v="Fone de Ouvido"/>
    <n v="9"/>
    <n v="1839.57"/>
    <n v="16556.13"/>
    <n v="2024"/>
    <n v="12"/>
    <n v="27"/>
    <x v="0"/>
    <n v="6622.4520000000011"/>
    <n v="1655.6130000000003"/>
    <x v="1"/>
    <x v="1"/>
  </r>
  <r>
    <d v="2025-01-19T00:00:00"/>
    <n v="5178"/>
    <s v="Rebeca Moreira"/>
    <x v="0"/>
    <s v="Móveis"/>
    <s v="Mesa"/>
    <n v="6"/>
    <n v="753.5"/>
    <n v="4521"/>
    <n v="2025"/>
    <n v="1"/>
    <n v="19"/>
    <x v="2"/>
    <n v="1808.4"/>
    <n v="452.1"/>
    <x v="7"/>
    <x v="0"/>
  </r>
  <r>
    <d v="2025-01-18T00:00:00"/>
    <n v="8312"/>
    <s v="Mirella Gonçalves"/>
    <x v="0"/>
    <s v="Brinquedos"/>
    <s v="Boneca"/>
    <n v="1"/>
    <n v="1574.61"/>
    <n v="1574.61"/>
    <n v="2025"/>
    <n v="1"/>
    <n v="18"/>
    <x v="1"/>
    <n v="629.84400000000005"/>
    <n v="157.46100000000001"/>
    <x v="4"/>
    <x v="0"/>
  </r>
  <r>
    <d v="2025-02-02T00:00:00"/>
    <n v="3091"/>
    <s v="Cauê Dias"/>
    <x v="2"/>
    <s v="Brinquedos"/>
    <s v="Quebra-Cabeça"/>
    <n v="1"/>
    <n v="1718.77"/>
    <n v="1718.77"/>
    <n v="2025"/>
    <n v="2"/>
    <n v="2"/>
    <x v="2"/>
    <n v="687.50800000000004"/>
    <n v="171.87700000000001"/>
    <x v="4"/>
    <x v="0"/>
  </r>
  <r>
    <d v="2024-12-28T00:00:00"/>
    <n v="3476"/>
    <s v="Matheus Caldeira"/>
    <x v="5"/>
    <s v="Vestuário"/>
    <s v="Tênis"/>
    <n v="1"/>
    <n v="2895.27"/>
    <n v="2895.27"/>
    <n v="2024"/>
    <n v="12"/>
    <n v="28"/>
    <x v="1"/>
    <n v="1158.1079999999999"/>
    <n v="289.52699999999999"/>
    <x v="1"/>
    <x v="0"/>
  </r>
  <r>
    <d v="2025-01-25T00:00:00"/>
    <n v="8707"/>
    <s v="Gabrielly Freitas"/>
    <x v="5"/>
    <s v="Vestuário"/>
    <s v="Calça Jeans"/>
    <n v="10"/>
    <n v="116.63"/>
    <n v="1166.3"/>
    <n v="2025"/>
    <n v="1"/>
    <n v="25"/>
    <x v="1"/>
    <n v="466.52"/>
    <n v="116.63"/>
    <x v="7"/>
    <x v="0"/>
  </r>
  <r>
    <d v="2025-02-21T00:00:00"/>
    <n v="9562"/>
    <s v="Sra. Maria Alice das Neves"/>
    <x v="4"/>
    <s v="Brinquedos"/>
    <s v="Quebra-Cabeça"/>
    <n v="4"/>
    <n v="981.58"/>
    <n v="3926.32"/>
    <n v="2025"/>
    <n v="2"/>
    <n v="21"/>
    <x v="0"/>
    <n v="1570.5280000000002"/>
    <n v="392.63200000000006"/>
    <x v="4"/>
    <x v="0"/>
  </r>
  <r>
    <d v="2025-02-08T00:00:00"/>
    <n v="8349"/>
    <s v="Dra. Lívia Ferreira"/>
    <x v="4"/>
    <s v="Eletrônicos"/>
    <s v="Smartphone"/>
    <n v="4"/>
    <n v="2260.4499999999998"/>
    <n v="9041.7999999999993"/>
    <n v="2025"/>
    <n v="2"/>
    <n v="8"/>
    <x v="1"/>
    <n v="3616.72"/>
    <n v="904.18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F32DE4-C8A1-4F6D-B60F-44873A485A02}" name="Tabela dinâmica7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VIP" colHeaderCaption="DOMINGO">
  <location ref="A3:I7" firstHeaderRow="1" firstDataRow="2" firstDataCol="1"/>
  <pivotFields count="17">
    <pivotField numFmtId="14" showAll="0"/>
    <pivotField numFmtId="1" showAll="0"/>
    <pivotField showAll="0"/>
    <pivotField showAll="0" sortType="descending">
      <items count="8">
        <item x="2"/>
        <item x="6"/>
        <item x="5"/>
        <item x="1"/>
        <item x="4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includeNewItemsInFilter="1" sumSubtotal="1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2" showAll="0"/>
    <pivotField numFmtId="164" showAll="0"/>
    <pivotField dataField="1" numFmtId="164" showAll="0"/>
    <pivotField showAll="0"/>
    <pivotField showAll="0" sortType="descending"/>
    <pivotField showAll="0"/>
    <pivotField axis="axisCol" showAll="0">
      <items count="8">
        <item x="2"/>
        <item x="3"/>
        <item x="5"/>
        <item x="6"/>
        <item x="4"/>
        <item x="0"/>
        <item x="1"/>
        <item t="default"/>
      </items>
    </pivotField>
    <pivotField numFmtId="164" showAll="0"/>
    <pivotField numFmtId="164" showAll="0"/>
    <pivotField showAll="0">
      <items count="9">
        <item x="7"/>
        <item x="4"/>
        <item x="1"/>
        <item x="6"/>
        <item x="2"/>
        <item x="3"/>
        <item x="5"/>
        <item x="0"/>
        <item t="default"/>
      </items>
    </pivotField>
    <pivotField axis="axisRow" showAll="0">
      <items count="3">
        <item x="0"/>
        <item x="1"/>
        <item t="default"/>
      </items>
    </pivotField>
  </pivotFields>
  <rowFields count="1">
    <field x="16"/>
  </rowFields>
  <rowItems count="3">
    <i>
      <x/>
    </i>
    <i>
      <x v="1"/>
    </i>
    <i t="grand">
      <x/>
    </i>
  </rowItems>
  <colFields count="1">
    <field x="12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oma de Total da Venda" fld="8" baseField="0" baseItem="0" numFmtId="44"/>
  </dataFields>
  <formats count="15">
    <format dxfId="15">
      <pivotArea outline="0" collapsedLevelsAreSubtotals="1" fieldPosition="0"/>
    </format>
    <format dxfId="14">
      <pivotArea type="all" dataOnly="0" outline="0" fieldPosition="0"/>
    </format>
    <format dxfId="13">
      <pivotArea outline="0" collapsedLevelsAreSubtotals="1" fieldPosition="0"/>
    </format>
    <format dxfId="12">
      <pivotArea field="-2" type="button" dataOnly="0" labelOnly="1" outline="0" axis="axisValues" fieldPosition="0"/>
    </format>
    <format dxfId="11">
      <pivotArea field="15" type="button" dataOnly="0" labelOnly="1" outline="0"/>
    </format>
    <format dxfId="10">
      <pivotArea type="topRight" dataOnly="0" labelOnly="1" outline="0" fieldPosition="0"/>
    </format>
    <format dxfId="9">
      <pivotArea type="all" dataOnly="0" outline="0" fieldPosition="0"/>
    </format>
    <format dxfId="8">
      <pivotArea outline="0" collapsedLevelsAreSubtotals="1" fieldPosition="0"/>
    </format>
    <format dxfId="7">
      <pivotArea field="-2" type="button" dataOnly="0" labelOnly="1" outline="0" axis="axisValues" fieldPosition="0"/>
    </format>
    <format dxfId="6">
      <pivotArea field="15" type="button" dataOnly="0" labelOnly="1" outline="0"/>
    </format>
    <format dxfId="5">
      <pivotArea type="topRight" dataOnly="0" labelOnly="1" outline="0" fieldPosition="0"/>
    </format>
    <format dxfId="4">
      <pivotArea outline="0" collapsedLevelsAreSubtotals="1" fieldPosition="0"/>
    </format>
    <format dxfId="3">
      <pivotArea outline="0" collapsedLevelsAreSubtotals="1" fieldPosition="0"/>
    </format>
    <format dxfId="2">
      <pivotArea dataOnly="0" labelOnly="1" grandRow="1" outline="0" fieldPosition="0"/>
    </format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636863-75C7-4E17-9574-7351258DAE33}" name="Tabela1" displayName="Tabela1" ref="A1:Q201" totalsRowShown="0" headerRowDxfId="28">
  <autoFilter ref="A1:Q201" xr:uid="{1F636863-75C7-4E17-9574-7351258DAE33}"/>
  <tableColumns count="17">
    <tableColumn id="1" xr3:uid="{FC256C17-94FE-4FBD-A494-3317941BDAEF}" name="Data da Venda" dataDxfId="27"/>
    <tableColumn id="2" xr3:uid="{59A31237-ED15-43FD-B51F-BED1FA5D371B}" name="ID do Cliente" dataDxfId="26"/>
    <tableColumn id="3" xr3:uid="{8CED95BF-2F69-4AC2-98A2-360D9FCCA4E5}" name="Nome do Cliente" dataDxfId="25"/>
    <tableColumn id="4" xr3:uid="{6195A8A4-B8D9-4FCC-9C7B-2E654838B642}" name="Estado" dataDxfId="24"/>
    <tableColumn id="5" xr3:uid="{3013A197-1843-40A3-AA0F-6F02C9D51D38}" name="Categoria" dataDxfId="23"/>
    <tableColumn id="6" xr3:uid="{AE68B689-1750-4E32-B24F-5797192766C4}" name="Produto" dataDxfId="22"/>
    <tableColumn id="7" xr3:uid="{333DA824-F6C7-4BD1-B41E-A2C124E534C3}" name="Quantidade" dataDxfId="21"/>
    <tableColumn id="8" xr3:uid="{C2D23A33-DF42-4414-9609-1EF51053E335}" name="Preço Unitário" dataDxfId="20"/>
    <tableColumn id="9" xr3:uid="{F25B475B-32E3-4627-A5C8-B0A603E34226}" name="Total da Venda" dataDxfId="19">
      <calculatedColumnFormula>G2*H2</calculatedColumnFormula>
    </tableColumn>
    <tableColumn id="10" xr3:uid="{D5A1A493-A2DB-4E5B-A03D-C1F0A2551854}" name="ANO">
      <calculatedColumnFormula>YEAR(A2)</calculatedColumnFormula>
    </tableColumn>
    <tableColumn id="11" xr3:uid="{FAA47AD9-5DCB-4AE0-A461-3D433DEAF2BB}" name="MÊS">
      <calculatedColumnFormula>MONTH(A2)</calculatedColumnFormula>
    </tableColumn>
    <tableColumn id="12" xr3:uid="{7EBC14CD-2B5E-4903-B2CA-096EA2609246}" name="DIA">
      <calculatedColumnFormula>DAY(A2)</calculatedColumnFormula>
    </tableColumn>
    <tableColumn id="13" xr3:uid="{601F6C94-2CBB-4DF6-BE0E-C451E2F97904}" name="DIA  DA SEMANA">
      <calculatedColumnFormula>WEEKDAY(A2)</calculatedColumnFormula>
    </tableColumn>
    <tableColumn id="14" xr3:uid="{4A431F93-989C-414E-9C29-BEC912E68078}" name="LUCRO" dataDxfId="18">
      <calculatedColumnFormula>I2*0.4</calculatedColumnFormula>
    </tableColumn>
    <tableColumn id="15" xr3:uid="{65960A1A-CD65-4EA3-8B3C-12BFC2C4FB44}" name="GASTOS" dataDxfId="17">
      <calculatedColumnFormula>I2*0.1</calculatedColumnFormula>
    </tableColumn>
    <tableColumn id="16" xr3:uid="{9F2312E7-2C7C-4FF4-A5E1-980D2D26F3FE}" name="ANO_MÊS" dataDxfId="16">
      <calculatedColumnFormula>CONCATENATE(J1,"_",K1)</calculatedColumnFormula>
    </tableColumn>
    <tableColumn id="17" xr3:uid="{F476221C-64F6-4266-94E8-E18D2DDC917A}" name="VIP" dataDxfId="0">
      <calculatedColumnFormula>IF(Tabela1[[#This Row],[Total da Venda]]&gt;=10000,"VIP","NÃO VIP")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0"/>
  <sheetViews>
    <sheetView topLeftCell="B1" zoomScale="85" zoomScaleNormal="85" workbookViewId="0">
      <selection activeCell="T6" sqref="T6"/>
    </sheetView>
  </sheetViews>
  <sheetFormatPr defaultColWidth="14.42578125" defaultRowHeight="15" customHeight="1" x14ac:dyDescent="0.25"/>
  <cols>
    <col min="1" max="1" width="19" bestFit="1" customWidth="1"/>
    <col min="2" max="2" width="17.140625" bestFit="1" customWidth="1"/>
    <col min="3" max="3" width="27.42578125" bestFit="1" customWidth="1"/>
    <col min="4" max="4" width="12.140625" style="6" bestFit="1" customWidth="1"/>
    <col min="5" max="5" width="14.42578125" style="6" bestFit="1" customWidth="1"/>
    <col min="6" max="6" width="17.85546875" style="6" bestFit="1" customWidth="1"/>
    <col min="7" max="7" width="16.140625" bestFit="1" customWidth="1"/>
    <col min="8" max="8" width="18.42578125" style="9" bestFit="1" customWidth="1"/>
    <col min="9" max="9" width="19.140625" style="9" bestFit="1" customWidth="1"/>
    <col min="10" max="10" width="10.42578125" bestFit="1" customWidth="1"/>
    <col min="11" max="11" width="10.28515625" bestFit="1" customWidth="1"/>
    <col min="12" max="12" width="9.5703125" bestFit="1" customWidth="1"/>
    <col min="13" max="13" width="21.140625" bestFit="1" customWidth="1"/>
    <col min="14" max="15" width="13.42578125" style="9" bestFit="1" customWidth="1"/>
    <col min="16" max="16" width="15.140625" bestFit="1" customWidth="1"/>
    <col min="17" max="18" width="8.7109375" customWidth="1"/>
    <col min="19" max="19" width="8.5703125" bestFit="1" customWidth="1"/>
    <col min="20" max="23" width="8.7109375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5" t="s">
        <v>3</v>
      </c>
      <c r="E1" s="5" t="s">
        <v>249</v>
      </c>
      <c r="F1" s="5" t="s">
        <v>250</v>
      </c>
      <c r="G1" s="1" t="s">
        <v>4</v>
      </c>
      <c r="H1" s="10" t="s">
        <v>5</v>
      </c>
      <c r="I1" s="10" t="s">
        <v>6</v>
      </c>
      <c r="J1" s="8" t="s">
        <v>243</v>
      </c>
      <c r="K1" s="8" t="s">
        <v>244</v>
      </c>
      <c r="L1" s="8" t="s">
        <v>245</v>
      </c>
      <c r="M1" s="8" t="s">
        <v>246</v>
      </c>
      <c r="N1" s="12" t="s">
        <v>247</v>
      </c>
      <c r="O1" s="12" t="s">
        <v>248</v>
      </c>
      <c r="P1" s="8" t="s">
        <v>254</v>
      </c>
      <c r="Q1" s="43" t="s">
        <v>261</v>
      </c>
    </row>
    <row r="2" spans="1:17" x14ac:dyDescent="0.25">
      <c r="A2" s="2">
        <v>45702</v>
      </c>
      <c r="B2" s="3">
        <v>5627</v>
      </c>
      <c r="C2" s="4" t="s">
        <v>7</v>
      </c>
      <c r="D2" s="4" t="s">
        <v>8</v>
      </c>
      <c r="E2" s="4" t="s">
        <v>9</v>
      </c>
      <c r="F2" s="4" t="s">
        <v>10</v>
      </c>
      <c r="G2" s="7">
        <v>3</v>
      </c>
      <c r="H2" s="11">
        <v>390.42</v>
      </c>
      <c r="I2" s="11">
        <f>G2*H2</f>
        <v>1171.26</v>
      </c>
      <c r="J2">
        <f>YEAR(A2)</f>
        <v>2025</v>
      </c>
      <c r="K2">
        <f>MONTH(A2)</f>
        <v>2</v>
      </c>
      <c r="L2">
        <f>DAY(A2)</f>
        <v>14</v>
      </c>
      <c r="M2">
        <f>WEEKDAY(A2)</f>
        <v>6</v>
      </c>
      <c r="N2" s="9">
        <f>I2*0.4</f>
        <v>468.50400000000002</v>
      </c>
      <c r="O2" s="9">
        <f>I2*0.1</f>
        <v>117.126</v>
      </c>
      <c r="P2" t="str">
        <f t="shared" ref="P2:P33" si="0">CONCATENATE(J1,"_",K1)</f>
        <v>ANO_MÊS</v>
      </c>
      <c r="Q2" t="str">
        <f>IF(Tabela1[[#This Row],[Total da Venda]]&gt;=10000,"VIP","NÃO VIP")</f>
        <v>NÃO VIP</v>
      </c>
    </row>
    <row r="3" spans="1:17" x14ac:dyDescent="0.25">
      <c r="A3" s="2">
        <v>45766</v>
      </c>
      <c r="B3" s="3">
        <v>1368</v>
      </c>
      <c r="C3" s="4" t="s">
        <v>11</v>
      </c>
      <c r="D3" s="4" t="s">
        <v>12</v>
      </c>
      <c r="E3" s="4" t="s">
        <v>13</v>
      </c>
      <c r="F3" s="4" t="s">
        <v>14</v>
      </c>
      <c r="G3" s="7">
        <v>2</v>
      </c>
      <c r="H3" s="11">
        <v>1793.52</v>
      </c>
      <c r="I3" s="11">
        <f t="shared" ref="I3:I66" si="1">G3*H3</f>
        <v>3587.04</v>
      </c>
      <c r="J3">
        <f t="shared" ref="J3:J66" si="2">YEAR(A3)</f>
        <v>2025</v>
      </c>
      <c r="K3">
        <f t="shared" ref="K3:K66" si="3">MONTH(A3)</f>
        <v>4</v>
      </c>
      <c r="L3">
        <f t="shared" ref="L3:L66" si="4">DAY(A3)</f>
        <v>19</v>
      </c>
      <c r="M3">
        <f t="shared" ref="M3:M66" si="5">WEEKDAY(A3)</f>
        <v>7</v>
      </c>
      <c r="N3" s="9">
        <f t="shared" ref="N3:N66" si="6">I3*0.4</f>
        <v>1434.816</v>
      </c>
      <c r="O3" s="9">
        <f t="shared" ref="O3:O66" si="7">I3*0.1</f>
        <v>358.70400000000001</v>
      </c>
      <c r="P3" t="str">
        <f t="shared" si="0"/>
        <v>2025_2</v>
      </c>
      <c r="Q3" t="str">
        <f>IF(Tabela1[[#This Row],[Total da Venda]]&gt;=10000,"VIP","NÃO VIP")</f>
        <v>NÃO VIP</v>
      </c>
    </row>
    <row r="4" spans="1:17" x14ac:dyDescent="0.25">
      <c r="A4" s="2">
        <v>45788</v>
      </c>
      <c r="B4" s="3">
        <v>3170</v>
      </c>
      <c r="C4" s="4" t="s">
        <v>15</v>
      </c>
      <c r="D4" s="4" t="s">
        <v>16</v>
      </c>
      <c r="E4" s="4" t="s">
        <v>13</v>
      </c>
      <c r="F4" s="4" t="s">
        <v>17</v>
      </c>
      <c r="G4" s="7">
        <v>9</v>
      </c>
      <c r="H4" s="11">
        <v>1610.73</v>
      </c>
      <c r="I4" s="11">
        <f t="shared" si="1"/>
        <v>14496.57</v>
      </c>
      <c r="J4">
        <f t="shared" si="2"/>
        <v>2025</v>
      </c>
      <c r="K4">
        <f t="shared" si="3"/>
        <v>5</v>
      </c>
      <c r="L4">
        <f t="shared" si="4"/>
        <v>11</v>
      </c>
      <c r="M4">
        <f t="shared" si="5"/>
        <v>1</v>
      </c>
      <c r="N4" s="9">
        <f t="shared" si="6"/>
        <v>5798.6280000000006</v>
      </c>
      <c r="O4" s="9">
        <f t="shared" si="7"/>
        <v>1449.6570000000002</v>
      </c>
      <c r="P4" t="str">
        <f t="shared" si="0"/>
        <v>2025_4</v>
      </c>
      <c r="Q4" t="str">
        <f>IF(Tabela1[[#This Row],[Total da Venda]]&gt;=10000,"VIP","NÃO VIP")</f>
        <v>VIP</v>
      </c>
    </row>
    <row r="5" spans="1:17" x14ac:dyDescent="0.25">
      <c r="A5" s="2">
        <v>45670</v>
      </c>
      <c r="B5" s="3">
        <v>7689</v>
      </c>
      <c r="C5" s="4" t="s">
        <v>18</v>
      </c>
      <c r="D5" s="4" t="s">
        <v>12</v>
      </c>
      <c r="E5" s="4" t="s">
        <v>19</v>
      </c>
      <c r="F5" s="4" t="s">
        <v>20</v>
      </c>
      <c r="G5" s="7">
        <v>8</v>
      </c>
      <c r="H5" s="11">
        <v>2391.0700000000002</v>
      </c>
      <c r="I5" s="11">
        <f t="shared" si="1"/>
        <v>19128.560000000001</v>
      </c>
      <c r="J5">
        <f t="shared" si="2"/>
        <v>2025</v>
      </c>
      <c r="K5">
        <f t="shared" si="3"/>
        <v>1</v>
      </c>
      <c r="L5">
        <f t="shared" si="4"/>
        <v>13</v>
      </c>
      <c r="M5">
        <f t="shared" si="5"/>
        <v>2</v>
      </c>
      <c r="N5" s="9">
        <f t="shared" si="6"/>
        <v>7651.4240000000009</v>
      </c>
      <c r="O5" s="9">
        <f t="shared" si="7"/>
        <v>1912.8560000000002</v>
      </c>
      <c r="P5" t="str">
        <f t="shared" si="0"/>
        <v>2025_5</v>
      </c>
      <c r="Q5" t="str">
        <f>IF(Tabela1[[#This Row],[Total da Venda]]&gt;=10000,"VIP","NÃO VIP")</f>
        <v>VIP</v>
      </c>
    </row>
    <row r="6" spans="1:17" x14ac:dyDescent="0.25">
      <c r="A6" s="2">
        <v>45680</v>
      </c>
      <c r="B6" s="3">
        <v>1722</v>
      </c>
      <c r="C6" s="4" t="s">
        <v>21</v>
      </c>
      <c r="D6" s="4" t="s">
        <v>22</v>
      </c>
      <c r="E6" s="4" t="s">
        <v>19</v>
      </c>
      <c r="F6" s="4" t="s">
        <v>23</v>
      </c>
      <c r="G6" s="7">
        <v>8</v>
      </c>
      <c r="H6" s="11">
        <v>235.34</v>
      </c>
      <c r="I6" s="11">
        <f t="shared" si="1"/>
        <v>1882.72</v>
      </c>
      <c r="J6">
        <f t="shared" si="2"/>
        <v>2025</v>
      </c>
      <c r="K6">
        <f t="shared" si="3"/>
        <v>1</v>
      </c>
      <c r="L6">
        <f t="shared" si="4"/>
        <v>23</v>
      </c>
      <c r="M6">
        <f t="shared" si="5"/>
        <v>5</v>
      </c>
      <c r="N6" s="9">
        <f t="shared" si="6"/>
        <v>753.08800000000008</v>
      </c>
      <c r="O6" s="9">
        <f t="shared" si="7"/>
        <v>188.27200000000002</v>
      </c>
      <c r="P6" t="str">
        <f t="shared" si="0"/>
        <v>2025_1</v>
      </c>
      <c r="Q6" t="str">
        <f>IF(Tabela1[[#This Row],[Total da Venda]]&gt;=10000,"VIP","NÃO VIP")</f>
        <v>NÃO VIP</v>
      </c>
    </row>
    <row r="7" spans="1:17" x14ac:dyDescent="0.25">
      <c r="A7" s="2">
        <v>45754</v>
      </c>
      <c r="B7" s="3">
        <v>1825</v>
      </c>
      <c r="C7" s="4" t="s">
        <v>24</v>
      </c>
      <c r="D7" s="4" t="s">
        <v>22</v>
      </c>
      <c r="E7" s="4" t="s">
        <v>9</v>
      </c>
      <c r="F7" s="4" t="s">
        <v>25</v>
      </c>
      <c r="G7" s="7">
        <v>2</v>
      </c>
      <c r="H7" s="11">
        <v>1489.84</v>
      </c>
      <c r="I7" s="11">
        <f t="shared" si="1"/>
        <v>2979.68</v>
      </c>
      <c r="J7">
        <f t="shared" si="2"/>
        <v>2025</v>
      </c>
      <c r="K7">
        <f t="shared" si="3"/>
        <v>4</v>
      </c>
      <c r="L7">
        <f t="shared" si="4"/>
        <v>7</v>
      </c>
      <c r="M7">
        <f t="shared" si="5"/>
        <v>2</v>
      </c>
      <c r="N7" s="9">
        <f t="shared" si="6"/>
        <v>1191.8720000000001</v>
      </c>
      <c r="O7" s="9">
        <f t="shared" si="7"/>
        <v>297.96800000000002</v>
      </c>
      <c r="P7" t="str">
        <f t="shared" si="0"/>
        <v>2025_1</v>
      </c>
      <c r="Q7" t="str">
        <f>IF(Tabela1[[#This Row],[Total da Venda]]&gt;=10000,"VIP","NÃO VIP")</f>
        <v>NÃO VIP</v>
      </c>
    </row>
    <row r="8" spans="1:17" x14ac:dyDescent="0.25">
      <c r="A8" s="2">
        <v>45816</v>
      </c>
      <c r="B8" s="3">
        <v>5689</v>
      </c>
      <c r="C8" s="4" t="s">
        <v>26</v>
      </c>
      <c r="D8" s="4" t="s">
        <v>27</v>
      </c>
      <c r="E8" s="4" t="s">
        <v>9</v>
      </c>
      <c r="F8" s="4" t="s">
        <v>28</v>
      </c>
      <c r="G8" s="7">
        <v>8</v>
      </c>
      <c r="H8" s="11">
        <v>481.94</v>
      </c>
      <c r="I8" s="11">
        <f t="shared" si="1"/>
        <v>3855.52</v>
      </c>
      <c r="J8">
        <f t="shared" si="2"/>
        <v>2025</v>
      </c>
      <c r="K8">
        <f t="shared" si="3"/>
        <v>6</v>
      </c>
      <c r="L8">
        <f t="shared" si="4"/>
        <v>8</v>
      </c>
      <c r="M8">
        <f t="shared" si="5"/>
        <v>1</v>
      </c>
      <c r="N8" s="9">
        <f t="shared" si="6"/>
        <v>1542.2080000000001</v>
      </c>
      <c r="O8" s="9">
        <f t="shared" si="7"/>
        <v>385.55200000000002</v>
      </c>
      <c r="P8" t="str">
        <f t="shared" si="0"/>
        <v>2025_4</v>
      </c>
      <c r="Q8" t="str">
        <f>IF(Tabela1[[#This Row],[Total da Venda]]&gt;=10000,"VIP","NÃO VIP")</f>
        <v>NÃO VIP</v>
      </c>
    </row>
    <row r="9" spans="1:17" x14ac:dyDescent="0.25">
      <c r="A9" s="2">
        <v>45730</v>
      </c>
      <c r="B9" s="3">
        <v>9320</v>
      </c>
      <c r="C9" s="4" t="s">
        <v>29</v>
      </c>
      <c r="D9" s="4" t="s">
        <v>16</v>
      </c>
      <c r="E9" s="4" t="s">
        <v>13</v>
      </c>
      <c r="F9" s="4" t="s">
        <v>30</v>
      </c>
      <c r="G9" s="7">
        <v>7</v>
      </c>
      <c r="H9" s="11">
        <v>2406.94</v>
      </c>
      <c r="I9" s="11">
        <f t="shared" si="1"/>
        <v>16848.580000000002</v>
      </c>
      <c r="J9">
        <f t="shared" si="2"/>
        <v>2025</v>
      </c>
      <c r="K9">
        <f t="shared" si="3"/>
        <v>3</v>
      </c>
      <c r="L9">
        <f t="shared" si="4"/>
        <v>14</v>
      </c>
      <c r="M9">
        <f t="shared" si="5"/>
        <v>6</v>
      </c>
      <c r="N9" s="9">
        <f t="shared" si="6"/>
        <v>6739.4320000000007</v>
      </c>
      <c r="O9" s="9">
        <f t="shared" si="7"/>
        <v>1684.8580000000002</v>
      </c>
      <c r="P9" t="str">
        <f t="shared" si="0"/>
        <v>2025_6</v>
      </c>
      <c r="Q9" t="str">
        <f>IF(Tabela1[[#This Row],[Total da Venda]]&gt;=10000,"VIP","NÃO VIP")</f>
        <v>VIP</v>
      </c>
    </row>
    <row r="10" spans="1:17" x14ac:dyDescent="0.25">
      <c r="A10" s="2">
        <v>45765</v>
      </c>
      <c r="B10" s="3">
        <v>3027</v>
      </c>
      <c r="C10" s="4" t="s">
        <v>31</v>
      </c>
      <c r="D10" s="4" t="s">
        <v>16</v>
      </c>
      <c r="E10" s="4" t="s">
        <v>19</v>
      </c>
      <c r="F10" s="4" t="s">
        <v>32</v>
      </c>
      <c r="G10" s="7">
        <v>1</v>
      </c>
      <c r="H10" s="11">
        <v>2192.52</v>
      </c>
      <c r="I10" s="11">
        <f t="shared" si="1"/>
        <v>2192.52</v>
      </c>
      <c r="J10">
        <f t="shared" si="2"/>
        <v>2025</v>
      </c>
      <c r="K10">
        <f t="shared" si="3"/>
        <v>4</v>
      </c>
      <c r="L10">
        <f t="shared" si="4"/>
        <v>18</v>
      </c>
      <c r="M10">
        <f t="shared" si="5"/>
        <v>6</v>
      </c>
      <c r="N10" s="9">
        <f t="shared" si="6"/>
        <v>877.00800000000004</v>
      </c>
      <c r="O10" s="9">
        <f t="shared" si="7"/>
        <v>219.25200000000001</v>
      </c>
      <c r="P10" t="str">
        <f t="shared" si="0"/>
        <v>2025_3</v>
      </c>
      <c r="Q10" t="str">
        <f>IF(Tabela1[[#This Row],[Total da Venda]]&gt;=10000,"VIP","NÃO VIP")</f>
        <v>NÃO VIP</v>
      </c>
    </row>
    <row r="11" spans="1:17" x14ac:dyDescent="0.25">
      <c r="A11" s="2">
        <v>45690</v>
      </c>
      <c r="B11" s="3">
        <v>7359</v>
      </c>
      <c r="C11" s="4" t="s">
        <v>33</v>
      </c>
      <c r="D11" s="4" t="s">
        <v>27</v>
      </c>
      <c r="E11" s="4" t="s">
        <v>9</v>
      </c>
      <c r="F11" s="4" t="s">
        <v>25</v>
      </c>
      <c r="G11" s="7">
        <v>8</v>
      </c>
      <c r="H11" s="11">
        <v>1751.46</v>
      </c>
      <c r="I11" s="11">
        <f t="shared" si="1"/>
        <v>14011.68</v>
      </c>
      <c r="J11">
        <f t="shared" si="2"/>
        <v>2025</v>
      </c>
      <c r="K11">
        <f t="shared" si="3"/>
        <v>2</v>
      </c>
      <c r="L11">
        <f t="shared" si="4"/>
        <v>2</v>
      </c>
      <c r="M11">
        <f t="shared" si="5"/>
        <v>1</v>
      </c>
      <c r="N11" s="9">
        <f t="shared" si="6"/>
        <v>5604.6720000000005</v>
      </c>
      <c r="O11" s="9">
        <f t="shared" si="7"/>
        <v>1401.1680000000001</v>
      </c>
      <c r="P11" t="str">
        <f t="shared" si="0"/>
        <v>2025_4</v>
      </c>
      <c r="Q11" t="str">
        <f>IF(Tabela1[[#This Row],[Total da Venda]]&gt;=10000,"VIP","NÃO VIP")</f>
        <v>VIP</v>
      </c>
    </row>
    <row r="12" spans="1:17" x14ac:dyDescent="0.25">
      <c r="A12" s="2">
        <v>45706</v>
      </c>
      <c r="B12" s="3">
        <v>2585</v>
      </c>
      <c r="C12" s="4" t="s">
        <v>34</v>
      </c>
      <c r="D12" s="4" t="s">
        <v>8</v>
      </c>
      <c r="E12" s="4" t="s">
        <v>13</v>
      </c>
      <c r="F12" s="4" t="s">
        <v>14</v>
      </c>
      <c r="G12" s="7">
        <v>2</v>
      </c>
      <c r="H12" s="11">
        <v>1189.6300000000001</v>
      </c>
      <c r="I12" s="11">
        <f t="shared" si="1"/>
        <v>2379.2600000000002</v>
      </c>
      <c r="J12">
        <f t="shared" si="2"/>
        <v>2025</v>
      </c>
      <c r="K12">
        <f t="shared" si="3"/>
        <v>2</v>
      </c>
      <c r="L12">
        <f t="shared" si="4"/>
        <v>18</v>
      </c>
      <c r="M12">
        <f t="shared" si="5"/>
        <v>3</v>
      </c>
      <c r="N12" s="9">
        <f t="shared" si="6"/>
        <v>951.70400000000018</v>
      </c>
      <c r="O12" s="9">
        <f t="shared" si="7"/>
        <v>237.92600000000004</v>
      </c>
      <c r="P12" t="str">
        <f t="shared" si="0"/>
        <v>2025_2</v>
      </c>
      <c r="Q12" t="str">
        <f>IF(Tabela1[[#This Row],[Total da Venda]]&gt;=10000,"VIP","NÃO VIP")</f>
        <v>NÃO VIP</v>
      </c>
    </row>
    <row r="13" spans="1:17" x14ac:dyDescent="0.25">
      <c r="A13" s="2">
        <v>45810</v>
      </c>
      <c r="B13" s="3">
        <v>7884</v>
      </c>
      <c r="C13" s="4" t="s">
        <v>35</v>
      </c>
      <c r="D13" s="4" t="s">
        <v>8</v>
      </c>
      <c r="E13" s="4" t="s">
        <v>13</v>
      </c>
      <c r="F13" s="4" t="s">
        <v>14</v>
      </c>
      <c r="G13" s="7">
        <v>1</v>
      </c>
      <c r="H13" s="11">
        <v>1733.16</v>
      </c>
      <c r="I13" s="11">
        <f t="shared" si="1"/>
        <v>1733.16</v>
      </c>
      <c r="J13">
        <f t="shared" si="2"/>
        <v>2025</v>
      </c>
      <c r="K13">
        <f t="shared" si="3"/>
        <v>6</v>
      </c>
      <c r="L13">
        <f t="shared" si="4"/>
        <v>2</v>
      </c>
      <c r="M13">
        <f t="shared" si="5"/>
        <v>2</v>
      </c>
      <c r="N13" s="9">
        <f t="shared" si="6"/>
        <v>693.26400000000012</v>
      </c>
      <c r="O13" s="9">
        <f t="shared" si="7"/>
        <v>173.31600000000003</v>
      </c>
      <c r="P13" t="str">
        <f t="shared" si="0"/>
        <v>2025_2</v>
      </c>
      <c r="Q13" t="str">
        <f>IF(Tabela1[[#This Row],[Total da Venda]]&gt;=10000,"VIP","NÃO VIP")</f>
        <v>NÃO VIP</v>
      </c>
    </row>
    <row r="14" spans="1:17" x14ac:dyDescent="0.25">
      <c r="A14" s="2">
        <v>45677</v>
      </c>
      <c r="B14" s="3">
        <v>7981</v>
      </c>
      <c r="C14" s="4" t="s">
        <v>36</v>
      </c>
      <c r="D14" s="4" t="s">
        <v>37</v>
      </c>
      <c r="E14" s="4" t="s">
        <v>19</v>
      </c>
      <c r="F14" s="4" t="s">
        <v>20</v>
      </c>
      <c r="G14" s="7">
        <v>4</v>
      </c>
      <c r="H14" s="11">
        <v>2972.09</v>
      </c>
      <c r="I14" s="11">
        <f t="shared" si="1"/>
        <v>11888.36</v>
      </c>
      <c r="J14">
        <f t="shared" si="2"/>
        <v>2025</v>
      </c>
      <c r="K14">
        <f t="shared" si="3"/>
        <v>1</v>
      </c>
      <c r="L14">
        <f t="shared" si="4"/>
        <v>20</v>
      </c>
      <c r="M14">
        <f t="shared" si="5"/>
        <v>2</v>
      </c>
      <c r="N14" s="9">
        <f t="shared" si="6"/>
        <v>4755.3440000000001</v>
      </c>
      <c r="O14" s="9">
        <f t="shared" si="7"/>
        <v>1188.836</v>
      </c>
      <c r="P14" t="str">
        <f t="shared" si="0"/>
        <v>2025_6</v>
      </c>
      <c r="Q14" t="str">
        <f>IF(Tabela1[[#This Row],[Total da Venda]]&gt;=10000,"VIP","NÃO VIP")</f>
        <v>VIP</v>
      </c>
    </row>
    <row r="15" spans="1:17" x14ac:dyDescent="0.25">
      <c r="A15" s="2">
        <v>45666</v>
      </c>
      <c r="B15" s="3">
        <v>1322</v>
      </c>
      <c r="C15" s="4" t="s">
        <v>38</v>
      </c>
      <c r="D15" s="4" t="s">
        <v>8</v>
      </c>
      <c r="E15" s="4" t="s">
        <v>13</v>
      </c>
      <c r="F15" s="4" t="s">
        <v>17</v>
      </c>
      <c r="G15" s="7">
        <v>5</v>
      </c>
      <c r="H15" s="11">
        <v>1070.3</v>
      </c>
      <c r="I15" s="11">
        <f t="shared" si="1"/>
        <v>5351.5</v>
      </c>
      <c r="J15">
        <f t="shared" si="2"/>
        <v>2025</v>
      </c>
      <c r="K15">
        <f t="shared" si="3"/>
        <v>1</v>
      </c>
      <c r="L15">
        <f t="shared" si="4"/>
        <v>9</v>
      </c>
      <c r="M15">
        <f t="shared" si="5"/>
        <v>5</v>
      </c>
      <c r="N15" s="9">
        <f t="shared" si="6"/>
        <v>2140.6</v>
      </c>
      <c r="O15" s="9">
        <f t="shared" si="7"/>
        <v>535.15</v>
      </c>
      <c r="P15" t="str">
        <f t="shared" si="0"/>
        <v>2025_1</v>
      </c>
      <c r="Q15" t="str">
        <f>IF(Tabela1[[#This Row],[Total da Venda]]&gt;=10000,"VIP","NÃO VIP")</f>
        <v>NÃO VIP</v>
      </c>
    </row>
    <row r="16" spans="1:17" x14ac:dyDescent="0.25">
      <c r="A16" s="2">
        <v>45797</v>
      </c>
      <c r="B16" s="3">
        <v>3537</v>
      </c>
      <c r="C16" s="4" t="s">
        <v>39</v>
      </c>
      <c r="D16" s="4" t="s">
        <v>22</v>
      </c>
      <c r="E16" s="4" t="s">
        <v>40</v>
      </c>
      <c r="F16" s="4" t="s">
        <v>41</v>
      </c>
      <c r="G16" s="7">
        <v>1</v>
      </c>
      <c r="H16" s="11">
        <v>1263</v>
      </c>
      <c r="I16" s="11">
        <f t="shared" si="1"/>
        <v>1263</v>
      </c>
      <c r="J16">
        <f t="shared" si="2"/>
        <v>2025</v>
      </c>
      <c r="K16">
        <f t="shared" si="3"/>
        <v>5</v>
      </c>
      <c r="L16">
        <f t="shared" si="4"/>
        <v>20</v>
      </c>
      <c r="M16">
        <f t="shared" si="5"/>
        <v>3</v>
      </c>
      <c r="N16" s="9">
        <f t="shared" si="6"/>
        <v>505.20000000000005</v>
      </c>
      <c r="O16" s="9">
        <f t="shared" si="7"/>
        <v>126.30000000000001</v>
      </c>
      <c r="P16" t="str">
        <f t="shared" si="0"/>
        <v>2025_1</v>
      </c>
      <c r="Q16" t="str">
        <f>IF(Tabela1[[#This Row],[Total da Venda]]&gt;=10000,"VIP","NÃO VIP")</f>
        <v>NÃO VIP</v>
      </c>
    </row>
    <row r="17" spans="1:17" x14ac:dyDescent="0.25">
      <c r="A17" s="2">
        <v>45697</v>
      </c>
      <c r="B17" s="3">
        <v>2982</v>
      </c>
      <c r="C17" s="4" t="s">
        <v>42</v>
      </c>
      <c r="D17" s="4" t="s">
        <v>16</v>
      </c>
      <c r="E17" s="4" t="s">
        <v>9</v>
      </c>
      <c r="F17" s="4" t="s">
        <v>43</v>
      </c>
      <c r="G17" s="7">
        <v>2</v>
      </c>
      <c r="H17" s="11">
        <v>2008.93</v>
      </c>
      <c r="I17" s="11">
        <f t="shared" si="1"/>
        <v>4017.86</v>
      </c>
      <c r="J17">
        <f t="shared" si="2"/>
        <v>2025</v>
      </c>
      <c r="K17">
        <f t="shared" si="3"/>
        <v>2</v>
      </c>
      <c r="L17">
        <f t="shared" si="4"/>
        <v>9</v>
      </c>
      <c r="M17">
        <f t="shared" si="5"/>
        <v>1</v>
      </c>
      <c r="N17" s="9">
        <f t="shared" si="6"/>
        <v>1607.1440000000002</v>
      </c>
      <c r="O17" s="9">
        <f t="shared" si="7"/>
        <v>401.78600000000006</v>
      </c>
      <c r="P17" t="str">
        <f t="shared" si="0"/>
        <v>2025_5</v>
      </c>
      <c r="Q17" t="str">
        <f>IF(Tabela1[[#This Row],[Total da Venda]]&gt;=10000,"VIP","NÃO VIP")</f>
        <v>NÃO VIP</v>
      </c>
    </row>
    <row r="18" spans="1:17" x14ac:dyDescent="0.25">
      <c r="A18" s="2">
        <v>45651</v>
      </c>
      <c r="B18" s="3">
        <v>5593</v>
      </c>
      <c r="C18" s="4" t="s">
        <v>44</v>
      </c>
      <c r="D18" s="4" t="s">
        <v>22</v>
      </c>
      <c r="E18" s="4" t="s">
        <v>40</v>
      </c>
      <c r="F18" s="4" t="s">
        <v>45</v>
      </c>
      <c r="G18" s="7">
        <v>5</v>
      </c>
      <c r="H18" s="11">
        <v>234.04</v>
      </c>
      <c r="I18" s="11">
        <f t="shared" si="1"/>
        <v>1170.2</v>
      </c>
      <c r="J18">
        <f t="shared" si="2"/>
        <v>2024</v>
      </c>
      <c r="K18">
        <f t="shared" si="3"/>
        <v>12</v>
      </c>
      <c r="L18">
        <f t="shared" si="4"/>
        <v>25</v>
      </c>
      <c r="M18">
        <f t="shared" si="5"/>
        <v>4</v>
      </c>
      <c r="N18" s="9">
        <f t="shared" si="6"/>
        <v>468.08000000000004</v>
      </c>
      <c r="O18" s="9">
        <f t="shared" si="7"/>
        <v>117.02000000000001</v>
      </c>
      <c r="P18" t="str">
        <f t="shared" si="0"/>
        <v>2025_2</v>
      </c>
      <c r="Q18" t="str">
        <f>IF(Tabela1[[#This Row],[Total da Venda]]&gt;=10000,"VIP","NÃO VIP")</f>
        <v>NÃO VIP</v>
      </c>
    </row>
    <row r="19" spans="1:17" x14ac:dyDescent="0.25">
      <c r="A19" s="2">
        <v>45757</v>
      </c>
      <c r="B19" s="3">
        <v>1305</v>
      </c>
      <c r="C19" s="4" t="s">
        <v>46</v>
      </c>
      <c r="D19" s="4" t="s">
        <v>16</v>
      </c>
      <c r="E19" s="4" t="s">
        <v>19</v>
      </c>
      <c r="F19" s="4" t="s">
        <v>47</v>
      </c>
      <c r="G19" s="7">
        <v>8</v>
      </c>
      <c r="H19" s="11">
        <v>624.63</v>
      </c>
      <c r="I19" s="11">
        <f t="shared" si="1"/>
        <v>4997.04</v>
      </c>
      <c r="J19">
        <f t="shared" si="2"/>
        <v>2025</v>
      </c>
      <c r="K19">
        <f t="shared" si="3"/>
        <v>4</v>
      </c>
      <c r="L19">
        <f t="shared" si="4"/>
        <v>10</v>
      </c>
      <c r="M19">
        <f t="shared" si="5"/>
        <v>5</v>
      </c>
      <c r="N19" s="9">
        <f t="shared" si="6"/>
        <v>1998.816</v>
      </c>
      <c r="O19" s="9">
        <f t="shared" si="7"/>
        <v>499.70400000000001</v>
      </c>
      <c r="P19" t="str">
        <f t="shared" si="0"/>
        <v>2024_12</v>
      </c>
      <c r="Q19" t="str">
        <f>IF(Tabela1[[#This Row],[Total da Venda]]&gt;=10000,"VIP","NÃO VIP")</f>
        <v>NÃO VIP</v>
      </c>
    </row>
    <row r="20" spans="1:17" x14ac:dyDescent="0.25">
      <c r="A20" s="2">
        <v>45710</v>
      </c>
      <c r="B20" s="3">
        <v>6303</v>
      </c>
      <c r="C20" s="4" t="s">
        <v>48</v>
      </c>
      <c r="D20" s="4" t="s">
        <v>27</v>
      </c>
      <c r="E20" s="4" t="s">
        <v>9</v>
      </c>
      <c r="F20" s="4" t="s">
        <v>43</v>
      </c>
      <c r="G20" s="7">
        <v>4</v>
      </c>
      <c r="H20" s="11">
        <v>2422.84</v>
      </c>
      <c r="I20" s="11">
        <f t="shared" si="1"/>
        <v>9691.36</v>
      </c>
      <c r="J20">
        <f t="shared" si="2"/>
        <v>2025</v>
      </c>
      <c r="K20">
        <f t="shared" si="3"/>
        <v>2</v>
      </c>
      <c r="L20">
        <f t="shared" si="4"/>
        <v>22</v>
      </c>
      <c r="M20">
        <f t="shared" si="5"/>
        <v>7</v>
      </c>
      <c r="N20" s="9">
        <f t="shared" si="6"/>
        <v>3876.5440000000003</v>
      </c>
      <c r="O20" s="9">
        <f t="shared" si="7"/>
        <v>969.13600000000008</v>
      </c>
      <c r="P20" t="str">
        <f t="shared" si="0"/>
        <v>2025_4</v>
      </c>
      <c r="Q20" t="str">
        <f>IF(Tabela1[[#This Row],[Total da Venda]]&gt;=10000,"VIP","NÃO VIP")</f>
        <v>NÃO VIP</v>
      </c>
    </row>
    <row r="21" spans="1:17" ht="15.75" customHeight="1" x14ac:dyDescent="0.25">
      <c r="A21" s="2">
        <v>45751</v>
      </c>
      <c r="B21" s="3">
        <v>6700</v>
      </c>
      <c r="C21" s="4" t="s">
        <v>49</v>
      </c>
      <c r="D21" s="4" t="s">
        <v>16</v>
      </c>
      <c r="E21" s="4" t="s">
        <v>9</v>
      </c>
      <c r="F21" s="4" t="s">
        <v>43</v>
      </c>
      <c r="G21" s="7">
        <v>7</v>
      </c>
      <c r="H21" s="11">
        <v>2205.46</v>
      </c>
      <c r="I21" s="11">
        <f t="shared" si="1"/>
        <v>15438.220000000001</v>
      </c>
      <c r="J21">
        <f t="shared" si="2"/>
        <v>2025</v>
      </c>
      <c r="K21">
        <f t="shared" si="3"/>
        <v>4</v>
      </c>
      <c r="L21">
        <f t="shared" si="4"/>
        <v>4</v>
      </c>
      <c r="M21">
        <f t="shared" si="5"/>
        <v>6</v>
      </c>
      <c r="N21" s="9">
        <f t="shared" si="6"/>
        <v>6175.2880000000005</v>
      </c>
      <c r="O21" s="9">
        <f t="shared" si="7"/>
        <v>1543.8220000000001</v>
      </c>
      <c r="P21" t="str">
        <f t="shared" si="0"/>
        <v>2025_2</v>
      </c>
      <c r="Q21" t="str">
        <f>IF(Tabela1[[#This Row],[Total da Venda]]&gt;=10000,"VIP","NÃO VIP")</f>
        <v>VIP</v>
      </c>
    </row>
    <row r="22" spans="1:17" ht="15.75" customHeight="1" x14ac:dyDescent="0.25">
      <c r="A22" s="2">
        <v>45751</v>
      </c>
      <c r="B22" s="3">
        <v>4907</v>
      </c>
      <c r="C22" s="4" t="s">
        <v>50</v>
      </c>
      <c r="D22" s="4" t="s">
        <v>37</v>
      </c>
      <c r="E22" s="4" t="s">
        <v>9</v>
      </c>
      <c r="F22" s="4" t="s">
        <v>10</v>
      </c>
      <c r="G22" s="7">
        <v>10</v>
      </c>
      <c r="H22" s="11">
        <v>2262.7399999999998</v>
      </c>
      <c r="I22" s="11">
        <f t="shared" si="1"/>
        <v>22627.399999999998</v>
      </c>
      <c r="J22">
        <f t="shared" si="2"/>
        <v>2025</v>
      </c>
      <c r="K22">
        <f t="shared" si="3"/>
        <v>4</v>
      </c>
      <c r="L22">
        <f t="shared" si="4"/>
        <v>4</v>
      </c>
      <c r="M22">
        <f t="shared" si="5"/>
        <v>6</v>
      </c>
      <c r="N22" s="9">
        <f t="shared" si="6"/>
        <v>9050.9599999999991</v>
      </c>
      <c r="O22" s="9">
        <f t="shared" si="7"/>
        <v>2262.7399999999998</v>
      </c>
      <c r="P22" t="str">
        <f t="shared" si="0"/>
        <v>2025_4</v>
      </c>
      <c r="Q22" t="str">
        <f>IF(Tabela1[[#This Row],[Total da Venda]]&gt;=10000,"VIP","NÃO VIP")</f>
        <v>VIP</v>
      </c>
    </row>
    <row r="23" spans="1:17" ht="15.75" customHeight="1" x14ac:dyDescent="0.25">
      <c r="A23" s="2">
        <v>45662</v>
      </c>
      <c r="B23" s="3">
        <v>5746</v>
      </c>
      <c r="C23" s="4" t="s">
        <v>51</v>
      </c>
      <c r="D23" s="4" t="s">
        <v>8</v>
      </c>
      <c r="E23" s="4" t="s">
        <v>52</v>
      </c>
      <c r="F23" s="4" t="s">
        <v>53</v>
      </c>
      <c r="G23" s="7">
        <v>3</v>
      </c>
      <c r="H23" s="11">
        <v>2806.52</v>
      </c>
      <c r="I23" s="11">
        <f t="shared" si="1"/>
        <v>8419.56</v>
      </c>
      <c r="J23">
        <f t="shared" si="2"/>
        <v>2025</v>
      </c>
      <c r="K23">
        <f t="shared" si="3"/>
        <v>1</v>
      </c>
      <c r="L23">
        <f t="shared" si="4"/>
        <v>5</v>
      </c>
      <c r="M23">
        <f t="shared" si="5"/>
        <v>1</v>
      </c>
      <c r="N23" s="9">
        <f t="shared" si="6"/>
        <v>3367.8240000000001</v>
      </c>
      <c r="O23" s="9">
        <f t="shared" si="7"/>
        <v>841.95600000000002</v>
      </c>
      <c r="P23" t="str">
        <f t="shared" si="0"/>
        <v>2025_4</v>
      </c>
      <c r="Q23" t="str">
        <f>IF(Tabela1[[#This Row],[Total da Venda]]&gt;=10000,"VIP","NÃO VIP")</f>
        <v>NÃO VIP</v>
      </c>
    </row>
    <row r="24" spans="1:17" ht="15.75" customHeight="1" x14ac:dyDescent="0.25">
      <c r="A24" s="2">
        <v>45773</v>
      </c>
      <c r="B24" s="3">
        <v>1307</v>
      </c>
      <c r="C24" s="4" t="s">
        <v>54</v>
      </c>
      <c r="D24" s="4" t="s">
        <v>22</v>
      </c>
      <c r="E24" s="4" t="s">
        <v>13</v>
      </c>
      <c r="F24" s="4" t="s">
        <v>17</v>
      </c>
      <c r="G24" s="7">
        <v>2</v>
      </c>
      <c r="H24" s="11">
        <v>2625.24</v>
      </c>
      <c r="I24" s="11">
        <f t="shared" si="1"/>
        <v>5250.48</v>
      </c>
      <c r="J24">
        <f t="shared" si="2"/>
        <v>2025</v>
      </c>
      <c r="K24">
        <f t="shared" si="3"/>
        <v>4</v>
      </c>
      <c r="L24">
        <f t="shared" si="4"/>
        <v>26</v>
      </c>
      <c r="M24">
        <f t="shared" si="5"/>
        <v>7</v>
      </c>
      <c r="N24" s="9">
        <f t="shared" si="6"/>
        <v>2100.192</v>
      </c>
      <c r="O24" s="9">
        <f t="shared" si="7"/>
        <v>525.048</v>
      </c>
      <c r="P24" t="str">
        <f t="shared" si="0"/>
        <v>2025_1</v>
      </c>
      <c r="Q24" t="str">
        <f>IF(Tabela1[[#This Row],[Total da Venda]]&gt;=10000,"VIP","NÃO VIP")</f>
        <v>NÃO VIP</v>
      </c>
    </row>
    <row r="25" spans="1:17" ht="15.75" customHeight="1" x14ac:dyDescent="0.25">
      <c r="A25" s="2">
        <v>45729</v>
      </c>
      <c r="B25" s="3">
        <v>6638</v>
      </c>
      <c r="C25" s="4" t="s">
        <v>55</v>
      </c>
      <c r="D25" s="4" t="s">
        <v>12</v>
      </c>
      <c r="E25" s="4" t="s">
        <v>13</v>
      </c>
      <c r="F25" s="4" t="s">
        <v>56</v>
      </c>
      <c r="G25" s="7">
        <v>8</v>
      </c>
      <c r="H25" s="11">
        <v>2277.06</v>
      </c>
      <c r="I25" s="11">
        <f t="shared" si="1"/>
        <v>18216.48</v>
      </c>
      <c r="J25">
        <f t="shared" si="2"/>
        <v>2025</v>
      </c>
      <c r="K25">
        <f t="shared" si="3"/>
        <v>3</v>
      </c>
      <c r="L25">
        <f t="shared" si="4"/>
        <v>13</v>
      </c>
      <c r="M25">
        <f t="shared" si="5"/>
        <v>5</v>
      </c>
      <c r="N25" s="9">
        <f t="shared" si="6"/>
        <v>7286.5920000000006</v>
      </c>
      <c r="O25" s="9">
        <f t="shared" si="7"/>
        <v>1821.6480000000001</v>
      </c>
      <c r="P25" t="str">
        <f t="shared" si="0"/>
        <v>2025_4</v>
      </c>
      <c r="Q25" t="str">
        <f>IF(Tabela1[[#This Row],[Total da Venda]]&gt;=10000,"VIP","NÃO VIP")</f>
        <v>VIP</v>
      </c>
    </row>
    <row r="26" spans="1:17" ht="15.75" customHeight="1" x14ac:dyDescent="0.25">
      <c r="A26" s="2">
        <v>45692</v>
      </c>
      <c r="B26" s="3">
        <v>7698</v>
      </c>
      <c r="C26" s="4" t="s">
        <v>57</v>
      </c>
      <c r="D26" s="4" t="s">
        <v>8</v>
      </c>
      <c r="E26" s="4" t="s">
        <v>9</v>
      </c>
      <c r="F26" s="4" t="s">
        <v>25</v>
      </c>
      <c r="G26" s="7">
        <v>4</v>
      </c>
      <c r="H26" s="11">
        <v>2315.37</v>
      </c>
      <c r="I26" s="11">
        <f t="shared" si="1"/>
        <v>9261.48</v>
      </c>
      <c r="J26">
        <f t="shared" si="2"/>
        <v>2025</v>
      </c>
      <c r="K26">
        <f t="shared" si="3"/>
        <v>2</v>
      </c>
      <c r="L26">
        <f t="shared" si="4"/>
        <v>4</v>
      </c>
      <c r="M26">
        <f t="shared" si="5"/>
        <v>3</v>
      </c>
      <c r="N26" s="9">
        <f t="shared" si="6"/>
        <v>3704.5920000000001</v>
      </c>
      <c r="O26" s="9">
        <f t="shared" si="7"/>
        <v>926.14800000000002</v>
      </c>
      <c r="P26" t="str">
        <f t="shared" si="0"/>
        <v>2025_3</v>
      </c>
      <c r="Q26" t="str">
        <f>IF(Tabela1[[#This Row],[Total da Venda]]&gt;=10000,"VIP","NÃO VIP")</f>
        <v>NÃO VIP</v>
      </c>
    </row>
    <row r="27" spans="1:17" ht="15.75" customHeight="1" x14ac:dyDescent="0.25">
      <c r="A27" s="2">
        <v>45675</v>
      </c>
      <c r="B27" s="3">
        <v>1583</v>
      </c>
      <c r="C27" s="4" t="s">
        <v>58</v>
      </c>
      <c r="D27" s="4" t="s">
        <v>12</v>
      </c>
      <c r="E27" s="4" t="s">
        <v>40</v>
      </c>
      <c r="F27" s="4" t="s">
        <v>41</v>
      </c>
      <c r="G27" s="7">
        <v>4</v>
      </c>
      <c r="H27" s="11">
        <v>2912.84</v>
      </c>
      <c r="I27" s="11">
        <f t="shared" si="1"/>
        <v>11651.36</v>
      </c>
      <c r="J27">
        <f t="shared" si="2"/>
        <v>2025</v>
      </c>
      <c r="K27">
        <f t="shared" si="3"/>
        <v>1</v>
      </c>
      <c r="L27">
        <f t="shared" si="4"/>
        <v>18</v>
      </c>
      <c r="M27">
        <f t="shared" si="5"/>
        <v>7</v>
      </c>
      <c r="N27" s="9">
        <f t="shared" si="6"/>
        <v>4660.5440000000008</v>
      </c>
      <c r="O27" s="9">
        <f t="shared" si="7"/>
        <v>1165.1360000000002</v>
      </c>
      <c r="P27" t="str">
        <f t="shared" si="0"/>
        <v>2025_2</v>
      </c>
      <c r="Q27" t="str">
        <f>IF(Tabela1[[#This Row],[Total da Venda]]&gt;=10000,"VIP","NÃO VIP")</f>
        <v>VIP</v>
      </c>
    </row>
    <row r="28" spans="1:17" ht="15.75" customHeight="1" x14ac:dyDescent="0.25">
      <c r="A28" s="2">
        <v>45785</v>
      </c>
      <c r="B28" s="3">
        <v>8542</v>
      </c>
      <c r="C28" s="4" t="s">
        <v>59</v>
      </c>
      <c r="D28" s="4" t="s">
        <v>8</v>
      </c>
      <c r="E28" s="4" t="s">
        <v>13</v>
      </c>
      <c r="F28" s="4" t="s">
        <v>17</v>
      </c>
      <c r="G28" s="7">
        <v>1</v>
      </c>
      <c r="H28" s="11">
        <v>2541.62</v>
      </c>
      <c r="I28" s="11">
        <f t="shared" si="1"/>
        <v>2541.62</v>
      </c>
      <c r="J28">
        <f t="shared" si="2"/>
        <v>2025</v>
      </c>
      <c r="K28">
        <f t="shared" si="3"/>
        <v>5</v>
      </c>
      <c r="L28">
        <f t="shared" si="4"/>
        <v>8</v>
      </c>
      <c r="M28">
        <f t="shared" si="5"/>
        <v>5</v>
      </c>
      <c r="N28" s="9">
        <f t="shared" si="6"/>
        <v>1016.648</v>
      </c>
      <c r="O28" s="9">
        <f t="shared" si="7"/>
        <v>254.16200000000001</v>
      </c>
      <c r="P28" t="str">
        <f t="shared" si="0"/>
        <v>2025_1</v>
      </c>
      <c r="Q28" t="str">
        <f>IF(Tabela1[[#This Row],[Total da Venda]]&gt;=10000,"VIP","NÃO VIP")</f>
        <v>NÃO VIP</v>
      </c>
    </row>
    <row r="29" spans="1:17" ht="15.75" customHeight="1" x14ac:dyDescent="0.25">
      <c r="A29" s="2">
        <v>45684</v>
      </c>
      <c r="B29" s="3">
        <v>3301</v>
      </c>
      <c r="C29" s="4" t="s">
        <v>60</v>
      </c>
      <c r="D29" s="4" t="s">
        <v>12</v>
      </c>
      <c r="E29" s="4" t="s">
        <v>40</v>
      </c>
      <c r="F29" s="4" t="s">
        <v>61</v>
      </c>
      <c r="G29" s="7">
        <v>7</v>
      </c>
      <c r="H29" s="11">
        <v>104.92</v>
      </c>
      <c r="I29" s="11">
        <f t="shared" si="1"/>
        <v>734.44</v>
      </c>
      <c r="J29">
        <f t="shared" si="2"/>
        <v>2025</v>
      </c>
      <c r="K29">
        <f t="shared" si="3"/>
        <v>1</v>
      </c>
      <c r="L29">
        <f t="shared" si="4"/>
        <v>27</v>
      </c>
      <c r="M29">
        <f t="shared" si="5"/>
        <v>2</v>
      </c>
      <c r="N29" s="9">
        <f t="shared" si="6"/>
        <v>293.77600000000001</v>
      </c>
      <c r="O29" s="9">
        <f t="shared" si="7"/>
        <v>73.444000000000003</v>
      </c>
      <c r="P29" t="str">
        <f t="shared" si="0"/>
        <v>2025_5</v>
      </c>
      <c r="Q29" t="str">
        <f>IF(Tabela1[[#This Row],[Total da Venda]]&gt;=10000,"VIP","NÃO VIP")</f>
        <v>NÃO VIP</v>
      </c>
    </row>
    <row r="30" spans="1:17" ht="15.75" customHeight="1" x14ac:dyDescent="0.25">
      <c r="A30" s="2">
        <v>45716</v>
      </c>
      <c r="B30" s="3">
        <v>2628</v>
      </c>
      <c r="C30" s="4" t="s">
        <v>62</v>
      </c>
      <c r="D30" s="4" t="s">
        <v>63</v>
      </c>
      <c r="E30" s="4" t="s">
        <v>13</v>
      </c>
      <c r="F30" s="4" t="s">
        <v>64</v>
      </c>
      <c r="G30" s="7">
        <v>7</v>
      </c>
      <c r="H30" s="11">
        <v>1970.61</v>
      </c>
      <c r="I30" s="11">
        <f t="shared" si="1"/>
        <v>13794.269999999999</v>
      </c>
      <c r="J30">
        <f t="shared" si="2"/>
        <v>2025</v>
      </c>
      <c r="K30">
        <f t="shared" si="3"/>
        <v>2</v>
      </c>
      <c r="L30">
        <f t="shared" si="4"/>
        <v>28</v>
      </c>
      <c r="M30">
        <f t="shared" si="5"/>
        <v>6</v>
      </c>
      <c r="N30" s="9">
        <f t="shared" si="6"/>
        <v>5517.7079999999996</v>
      </c>
      <c r="O30" s="9">
        <f t="shared" si="7"/>
        <v>1379.4269999999999</v>
      </c>
      <c r="P30" t="str">
        <f t="shared" si="0"/>
        <v>2025_1</v>
      </c>
      <c r="Q30" t="str">
        <f>IF(Tabela1[[#This Row],[Total da Venda]]&gt;=10000,"VIP","NÃO VIP")</f>
        <v>VIP</v>
      </c>
    </row>
    <row r="31" spans="1:17" ht="15.75" customHeight="1" x14ac:dyDescent="0.25">
      <c r="A31" s="2">
        <v>45649</v>
      </c>
      <c r="B31" s="3">
        <v>7453</v>
      </c>
      <c r="C31" s="4" t="s">
        <v>65</v>
      </c>
      <c r="D31" s="4" t="s">
        <v>22</v>
      </c>
      <c r="E31" s="4" t="s">
        <v>52</v>
      </c>
      <c r="F31" s="4" t="s">
        <v>66</v>
      </c>
      <c r="G31" s="7">
        <v>10</v>
      </c>
      <c r="H31" s="11">
        <v>1058.3800000000001</v>
      </c>
      <c r="I31" s="11">
        <f t="shared" si="1"/>
        <v>10583.800000000001</v>
      </c>
      <c r="J31">
        <f t="shared" si="2"/>
        <v>2024</v>
      </c>
      <c r="K31">
        <f t="shared" si="3"/>
        <v>12</v>
      </c>
      <c r="L31">
        <f t="shared" si="4"/>
        <v>23</v>
      </c>
      <c r="M31">
        <f t="shared" si="5"/>
        <v>2</v>
      </c>
      <c r="N31" s="9">
        <f t="shared" si="6"/>
        <v>4233.5200000000004</v>
      </c>
      <c r="O31" s="9">
        <f t="shared" si="7"/>
        <v>1058.3800000000001</v>
      </c>
      <c r="P31" t="str">
        <f t="shared" si="0"/>
        <v>2025_2</v>
      </c>
      <c r="Q31" t="str">
        <f>IF(Tabela1[[#This Row],[Total da Venda]]&gt;=10000,"VIP","NÃO VIP")</f>
        <v>VIP</v>
      </c>
    </row>
    <row r="32" spans="1:17" ht="15.75" customHeight="1" x14ac:dyDescent="0.25">
      <c r="A32" s="2">
        <v>45760</v>
      </c>
      <c r="B32" s="3">
        <v>6357</v>
      </c>
      <c r="C32" s="4" t="s">
        <v>67</v>
      </c>
      <c r="D32" s="4" t="s">
        <v>63</v>
      </c>
      <c r="E32" s="4" t="s">
        <v>19</v>
      </c>
      <c r="F32" s="4" t="s">
        <v>32</v>
      </c>
      <c r="G32" s="7">
        <v>7</v>
      </c>
      <c r="H32" s="11">
        <v>1150.43</v>
      </c>
      <c r="I32" s="11">
        <f t="shared" si="1"/>
        <v>8053.01</v>
      </c>
      <c r="J32">
        <f t="shared" si="2"/>
        <v>2025</v>
      </c>
      <c r="K32">
        <f t="shared" si="3"/>
        <v>4</v>
      </c>
      <c r="L32">
        <f t="shared" si="4"/>
        <v>13</v>
      </c>
      <c r="M32">
        <f t="shared" si="5"/>
        <v>1</v>
      </c>
      <c r="N32" s="9">
        <f t="shared" si="6"/>
        <v>3221.2040000000002</v>
      </c>
      <c r="O32" s="9">
        <f t="shared" si="7"/>
        <v>805.30100000000004</v>
      </c>
      <c r="P32" t="str">
        <f t="shared" si="0"/>
        <v>2024_12</v>
      </c>
      <c r="Q32" t="str">
        <f>IF(Tabela1[[#This Row],[Total da Venda]]&gt;=10000,"VIP","NÃO VIP")</f>
        <v>NÃO VIP</v>
      </c>
    </row>
    <row r="33" spans="1:17" ht="15.75" customHeight="1" x14ac:dyDescent="0.25">
      <c r="A33" s="2">
        <v>45809</v>
      </c>
      <c r="B33" s="3">
        <v>6125</v>
      </c>
      <c r="C33" s="4" t="s">
        <v>68</v>
      </c>
      <c r="D33" s="4" t="s">
        <v>22</v>
      </c>
      <c r="E33" s="4" t="s">
        <v>40</v>
      </c>
      <c r="F33" s="4" t="s">
        <v>41</v>
      </c>
      <c r="G33" s="7">
        <v>2</v>
      </c>
      <c r="H33" s="11">
        <v>603.9</v>
      </c>
      <c r="I33" s="11">
        <f t="shared" si="1"/>
        <v>1207.8</v>
      </c>
      <c r="J33">
        <f t="shared" si="2"/>
        <v>2025</v>
      </c>
      <c r="K33">
        <f t="shared" si="3"/>
        <v>6</v>
      </c>
      <c r="L33">
        <f t="shared" si="4"/>
        <v>1</v>
      </c>
      <c r="M33">
        <f t="shared" si="5"/>
        <v>1</v>
      </c>
      <c r="N33" s="9">
        <f t="shared" si="6"/>
        <v>483.12</v>
      </c>
      <c r="O33" s="9">
        <f t="shared" si="7"/>
        <v>120.78</v>
      </c>
      <c r="P33" t="str">
        <f t="shared" si="0"/>
        <v>2025_4</v>
      </c>
      <c r="Q33" t="str">
        <f>IF(Tabela1[[#This Row],[Total da Venda]]&gt;=10000,"VIP","NÃO VIP")</f>
        <v>NÃO VIP</v>
      </c>
    </row>
    <row r="34" spans="1:17" ht="15.75" customHeight="1" x14ac:dyDescent="0.25">
      <c r="A34" s="2">
        <v>45640</v>
      </c>
      <c r="B34" s="3">
        <v>1162</v>
      </c>
      <c r="C34" s="4" t="s">
        <v>69</v>
      </c>
      <c r="D34" s="4" t="s">
        <v>37</v>
      </c>
      <c r="E34" s="4" t="s">
        <v>40</v>
      </c>
      <c r="F34" s="4" t="s">
        <v>70</v>
      </c>
      <c r="G34" s="7">
        <v>8</v>
      </c>
      <c r="H34" s="11">
        <v>1148.98</v>
      </c>
      <c r="I34" s="11">
        <f t="shared" si="1"/>
        <v>9191.84</v>
      </c>
      <c r="J34">
        <f t="shared" si="2"/>
        <v>2024</v>
      </c>
      <c r="K34">
        <f t="shared" si="3"/>
        <v>12</v>
      </c>
      <c r="L34">
        <f t="shared" si="4"/>
        <v>14</v>
      </c>
      <c r="M34">
        <f t="shared" si="5"/>
        <v>7</v>
      </c>
      <c r="N34" s="9">
        <f t="shared" si="6"/>
        <v>3676.7360000000003</v>
      </c>
      <c r="O34" s="9">
        <f t="shared" si="7"/>
        <v>919.18400000000008</v>
      </c>
      <c r="P34" t="str">
        <f t="shared" ref="P34:P65" si="8">CONCATENATE(J33,"_",K33)</f>
        <v>2025_6</v>
      </c>
      <c r="Q34" t="str">
        <f>IF(Tabela1[[#This Row],[Total da Venda]]&gt;=10000,"VIP","NÃO VIP")</f>
        <v>NÃO VIP</v>
      </c>
    </row>
    <row r="35" spans="1:17" ht="15.75" customHeight="1" x14ac:dyDescent="0.25">
      <c r="A35" s="2">
        <v>45676</v>
      </c>
      <c r="B35" s="3">
        <v>8716</v>
      </c>
      <c r="C35" s="4" t="s">
        <v>71</v>
      </c>
      <c r="D35" s="4" t="s">
        <v>22</v>
      </c>
      <c r="E35" s="4" t="s">
        <v>52</v>
      </c>
      <c r="F35" s="4" t="s">
        <v>72</v>
      </c>
      <c r="G35" s="7">
        <v>7</v>
      </c>
      <c r="H35" s="11">
        <v>588.55999999999995</v>
      </c>
      <c r="I35" s="11">
        <f t="shared" si="1"/>
        <v>4119.92</v>
      </c>
      <c r="J35">
        <f t="shared" si="2"/>
        <v>2025</v>
      </c>
      <c r="K35">
        <f t="shared" si="3"/>
        <v>1</v>
      </c>
      <c r="L35">
        <f t="shared" si="4"/>
        <v>19</v>
      </c>
      <c r="M35">
        <f t="shared" si="5"/>
        <v>1</v>
      </c>
      <c r="N35" s="9">
        <f t="shared" si="6"/>
        <v>1647.9680000000001</v>
      </c>
      <c r="O35" s="9">
        <f t="shared" si="7"/>
        <v>411.99200000000002</v>
      </c>
      <c r="P35" t="str">
        <f t="shared" si="8"/>
        <v>2024_12</v>
      </c>
      <c r="Q35" t="str">
        <f>IF(Tabela1[[#This Row],[Total da Venda]]&gt;=10000,"VIP","NÃO VIP")</f>
        <v>NÃO VIP</v>
      </c>
    </row>
    <row r="36" spans="1:17" ht="15.75" customHeight="1" x14ac:dyDescent="0.25">
      <c r="A36" s="2">
        <v>45705</v>
      </c>
      <c r="B36" s="3">
        <v>7947</v>
      </c>
      <c r="C36" s="4" t="s">
        <v>73</v>
      </c>
      <c r="D36" s="4" t="s">
        <v>22</v>
      </c>
      <c r="E36" s="4" t="s">
        <v>52</v>
      </c>
      <c r="F36" s="4" t="s">
        <v>53</v>
      </c>
      <c r="G36" s="7">
        <v>7</v>
      </c>
      <c r="H36" s="11">
        <v>1737.15</v>
      </c>
      <c r="I36" s="11">
        <f t="shared" si="1"/>
        <v>12160.050000000001</v>
      </c>
      <c r="J36">
        <f t="shared" si="2"/>
        <v>2025</v>
      </c>
      <c r="K36">
        <f t="shared" si="3"/>
        <v>2</v>
      </c>
      <c r="L36">
        <f t="shared" si="4"/>
        <v>17</v>
      </c>
      <c r="M36">
        <f t="shared" si="5"/>
        <v>2</v>
      </c>
      <c r="N36" s="9">
        <f t="shared" si="6"/>
        <v>4864.0200000000004</v>
      </c>
      <c r="O36" s="9">
        <f t="shared" si="7"/>
        <v>1216.0050000000001</v>
      </c>
      <c r="P36" t="str">
        <f t="shared" si="8"/>
        <v>2025_1</v>
      </c>
      <c r="Q36" t="str">
        <f>IF(Tabela1[[#This Row],[Total da Venda]]&gt;=10000,"VIP","NÃO VIP")</f>
        <v>VIP</v>
      </c>
    </row>
    <row r="37" spans="1:17" ht="15.75" customHeight="1" x14ac:dyDescent="0.25">
      <c r="A37" s="2">
        <v>45694</v>
      </c>
      <c r="B37" s="3">
        <v>3819</v>
      </c>
      <c r="C37" s="4" t="s">
        <v>74</v>
      </c>
      <c r="D37" s="4" t="s">
        <v>8</v>
      </c>
      <c r="E37" s="4" t="s">
        <v>19</v>
      </c>
      <c r="F37" s="4" t="s">
        <v>75</v>
      </c>
      <c r="G37" s="7">
        <v>9</v>
      </c>
      <c r="H37" s="11">
        <v>610.97</v>
      </c>
      <c r="I37" s="11">
        <f t="shared" si="1"/>
        <v>5498.7300000000005</v>
      </c>
      <c r="J37">
        <f t="shared" si="2"/>
        <v>2025</v>
      </c>
      <c r="K37">
        <f t="shared" si="3"/>
        <v>2</v>
      </c>
      <c r="L37">
        <f t="shared" si="4"/>
        <v>6</v>
      </c>
      <c r="M37">
        <f t="shared" si="5"/>
        <v>5</v>
      </c>
      <c r="N37" s="9">
        <f t="shared" si="6"/>
        <v>2199.4920000000002</v>
      </c>
      <c r="O37" s="9">
        <f t="shared" si="7"/>
        <v>549.87300000000005</v>
      </c>
      <c r="P37" t="str">
        <f t="shared" si="8"/>
        <v>2025_2</v>
      </c>
      <c r="Q37" t="str">
        <f>IF(Tabela1[[#This Row],[Total da Venda]]&gt;=10000,"VIP","NÃO VIP")</f>
        <v>NÃO VIP</v>
      </c>
    </row>
    <row r="38" spans="1:17" ht="15.75" customHeight="1" x14ac:dyDescent="0.25">
      <c r="A38" s="2">
        <v>45782</v>
      </c>
      <c r="B38" s="3">
        <v>9305</v>
      </c>
      <c r="C38" s="4" t="s">
        <v>76</v>
      </c>
      <c r="D38" s="4" t="s">
        <v>63</v>
      </c>
      <c r="E38" s="4" t="s">
        <v>13</v>
      </c>
      <c r="F38" s="4" t="s">
        <v>30</v>
      </c>
      <c r="G38" s="7">
        <v>3</v>
      </c>
      <c r="H38" s="11">
        <v>366.45</v>
      </c>
      <c r="I38" s="11">
        <f t="shared" si="1"/>
        <v>1099.3499999999999</v>
      </c>
      <c r="J38">
        <f t="shared" si="2"/>
        <v>2025</v>
      </c>
      <c r="K38">
        <f t="shared" si="3"/>
        <v>5</v>
      </c>
      <c r="L38">
        <f t="shared" si="4"/>
        <v>5</v>
      </c>
      <c r="M38">
        <f t="shared" si="5"/>
        <v>2</v>
      </c>
      <c r="N38" s="9">
        <f t="shared" si="6"/>
        <v>439.74</v>
      </c>
      <c r="O38" s="9">
        <f t="shared" si="7"/>
        <v>109.935</v>
      </c>
      <c r="P38" t="str">
        <f t="shared" si="8"/>
        <v>2025_2</v>
      </c>
      <c r="Q38" t="str">
        <f>IF(Tabela1[[#This Row],[Total da Venda]]&gt;=10000,"VIP","NÃO VIP")</f>
        <v>NÃO VIP</v>
      </c>
    </row>
    <row r="39" spans="1:17" ht="15.75" customHeight="1" x14ac:dyDescent="0.25">
      <c r="A39" s="2">
        <v>45777</v>
      </c>
      <c r="B39" s="3">
        <v>5748</v>
      </c>
      <c r="C39" s="4" t="s">
        <v>77</v>
      </c>
      <c r="D39" s="4" t="s">
        <v>22</v>
      </c>
      <c r="E39" s="4" t="s">
        <v>19</v>
      </c>
      <c r="F39" s="4" t="s">
        <v>32</v>
      </c>
      <c r="G39" s="7">
        <v>8</v>
      </c>
      <c r="H39" s="11">
        <v>192.91</v>
      </c>
      <c r="I39" s="11">
        <f t="shared" si="1"/>
        <v>1543.28</v>
      </c>
      <c r="J39">
        <f t="shared" si="2"/>
        <v>2025</v>
      </c>
      <c r="K39">
        <f t="shared" si="3"/>
        <v>4</v>
      </c>
      <c r="L39">
        <f t="shared" si="4"/>
        <v>30</v>
      </c>
      <c r="M39">
        <f t="shared" si="5"/>
        <v>4</v>
      </c>
      <c r="N39" s="9">
        <f t="shared" si="6"/>
        <v>617.31200000000001</v>
      </c>
      <c r="O39" s="9">
        <f t="shared" si="7"/>
        <v>154.328</v>
      </c>
      <c r="P39" t="str">
        <f t="shared" si="8"/>
        <v>2025_5</v>
      </c>
      <c r="Q39" t="str">
        <f>IF(Tabela1[[#This Row],[Total da Venda]]&gt;=10000,"VIP","NÃO VIP")</f>
        <v>NÃO VIP</v>
      </c>
    </row>
    <row r="40" spans="1:17" ht="15.75" customHeight="1" x14ac:dyDescent="0.25">
      <c r="A40" s="2">
        <v>45748</v>
      </c>
      <c r="B40" s="3">
        <v>8410</v>
      </c>
      <c r="C40" s="4" t="s">
        <v>78</v>
      </c>
      <c r="D40" s="4" t="s">
        <v>63</v>
      </c>
      <c r="E40" s="4" t="s">
        <v>19</v>
      </c>
      <c r="F40" s="4" t="s">
        <v>75</v>
      </c>
      <c r="G40" s="7">
        <v>9</v>
      </c>
      <c r="H40" s="11">
        <v>2134.06</v>
      </c>
      <c r="I40" s="11">
        <f t="shared" si="1"/>
        <v>19206.54</v>
      </c>
      <c r="J40">
        <f t="shared" si="2"/>
        <v>2025</v>
      </c>
      <c r="K40">
        <f t="shared" si="3"/>
        <v>4</v>
      </c>
      <c r="L40">
        <f t="shared" si="4"/>
        <v>1</v>
      </c>
      <c r="M40">
        <f t="shared" si="5"/>
        <v>3</v>
      </c>
      <c r="N40" s="9">
        <f t="shared" si="6"/>
        <v>7682.6160000000009</v>
      </c>
      <c r="O40" s="9">
        <f t="shared" si="7"/>
        <v>1920.6540000000002</v>
      </c>
      <c r="P40" t="str">
        <f t="shared" si="8"/>
        <v>2025_4</v>
      </c>
      <c r="Q40" t="str">
        <f>IF(Tabela1[[#This Row],[Total da Venda]]&gt;=10000,"VIP","NÃO VIP")</f>
        <v>VIP</v>
      </c>
    </row>
    <row r="41" spans="1:17" ht="15.75" customHeight="1" x14ac:dyDescent="0.25">
      <c r="A41" s="2">
        <v>45700</v>
      </c>
      <c r="B41" s="3">
        <v>4047</v>
      </c>
      <c r="C41" s="4" t="s">
        <v>79</v>
      </c>
      <c r="D41" s="4" t="s">
        <v>8</v>
      </c>
      <c r="E41" s="4" t="s">
        <v>19</v>
      </c>
      <c r="F41" s="4" t="s">
        <v>20</v>
      </c>
      <c r="G41" s="7">
        <v>8</v>
      </c>
      <c r="H41" s="11">
        <v>1250.26</v>
      </c>
      <c r="I41" s="11">
        <f t="shared" si="1"/>
        <v>10002.08</v>
      </c>
      <c r="J41">
        <f t="shared" si="2"/>
        <v>2025</v>
      </c>
      <c r="K41">
        <f t="shared" si="3"/>
        <v>2</v>
      </c>
      <c r="L41">
        <f t="shared" si="4"/>
        <v>12</v>
      </c>
      <c r="M41">
        <f t="shared" si="5"/>
        <v>4</v>
      </c>
      <c r="N41" s="9">
        <f t="shared" si="6"/>
        <v>4000.8320000000003</v>
      </c>
      <c r="O41" s="9">
        <f t="shared" si="7"/>
        <v>1000.2080000000001</v>
      </c>
      <c r="P41" t="str">
        <f t="shared" si="8"/>
        <v>2025_4</v>
      </c>
      <c r="Q41" t="str">
        <f>IF(Tabela1[[#This Row],[Total da Venda]]&gt;=10000,"VIP","NÃO VIP")</f>
        <v>VIP</v>
      </c>
    </row>
    <row r="42" spans="1:17" ht="15.75" customHeight="1" x14ac:dyDescent="0.25">
      <c r="A42" s="2">
        <v>45711</v>
      </c>
      <c r="B42" s="3">
        <v>1215</v>
      </c>
      <c r="C42" s="4" t="s">
        <v>80</v>
      </c>
      <c r="D42" s="4" t="s">
        <v>27</v>
      </c>
      <c r="E42" s="4" t="s">
        <v>40</v>
      </c>
      <c r="F42" s="4" t="s">
        <v>45</v>
      </c>
      <c r="G42" s="7">
        <v>8</v>
      </c>
      <c r="H42" s="11">
        <v>1905.04</v>
      </c>
      <c r="I42" s="11">
        <f t="shared" si="1"/>
        <v>15240.32</v>
      </c>
      <c r="J42">
        <f t="shared" si="2"/>
        <v>2025</v>
      </c>
      <c r="K42">
        <f t="shared" si="3"/>
        <v>2</v>
      </c>
      <c r="L42">
        <f t="shared" si="4"/>
        <v>23</v>
      </c>
      <c r="M42">
        <f t="shared" si="5"/>
        <v>1</v>
      </c>
      <c r="N42" s="9">
        <f t="shared" si="6"/>
        <v>6096.1280000000006</v>
      </c>
      <c r="O42" s="9">
        <f t="shared" si="7"/>
        <v>1524.0320000000002</v>
      </c>
      <c r="P42" t="str">
        <f t="shared" si="8"/>
        <v>2025_2</v>
      </c>
      <c r="Q42" t="str">
        <f>IF(Tabela1[[#This Row],[Total da Venda]]&gt;=10000,"VIP","NÃO VIP")</f>
        <v>VIP</v>
      </c>
    </row>
    <row r="43" spans="1:17" ht="15.75" customHeight="1" x14ac:dyDescent="0.25">
      <c r="A43" s="2">
        <v>45670</v>
      </c>
      <c r="B43" s="3">
        <v>6946</v>
      </c>
      <c r="C43" s="4" t="s">
        <v>81</v>
      </c>
      <c r="D43" s="4" t="s">
        <v>22</v>
      </c>
      <c r="E43" s="4" t="s">
        <v>52</v>
      </c>
      <c r="F43" s="4" t="s">
        <v>82</v>
      </c>
      <c r="G43" s="7">
        <v>7</v>
      </c>
      <c r="H43" s="11">
        <v>197.93</v>
      </c>
      <c r="I43" s="11">
        <f t="shared" si="1"/>
        <v>1385.51</v>
      </c>
      <c r="J43">
        <f t="shared" si="2"/>
        <v>2025</v>
      </c>
      <c r="K43">
        <f t="shared" si="3"/>
        <v>1</v>
      </c>
      <c r="L43">
        <f t="shared" si="4"/>
        <v>13</v>
      </c>
      <c r="M43">
        <f t="shared" si="5"/>
        <v>2</v>
      </c>
      <c r="N43" s="9">
        <f t="shared" si="6"/>
        <v>554.20400000000006</v>
      </c>
      <c r="O43" s="9">
        <f t="shared" si="7"/>
        <v>138.55100000000002</v>
      </c>
      <c r="P43" t="str">
        <f t="shared" si="8"/>
        <v>2025_2</v>
      </c>
      <c r="Q43" t="str">
        <f>IF(Tabela1[[#This Row],[Total da Venda]]&gt;=10000,"VIP","NÃO VIP")</f>
        <v>NÃO VIP</v>
      </c>
    </row>
    <row r="44" spans="1:17" ht="15.75" customHeight="1" x14ac:dyDescent="0.25">
      <c r="A44" s="2">
        <v>45642</v>
      </c>
      <c r="B44" s="3">
        <v>2931</v>
      </c>
      <c r="C44" s="4" t="s">
        <v>83</v>
      </c>
      <c r="D44" s="4" t="s">
        <v>8</v>
      </c>
      <c r="E44" s="4" t="s">
        <v>13</v>
      </c>
      <c r="F44" s="4" t="s">
        <v>56</v>
      </c>
      <c r="G44" s="7">
        <v>3</v>
      </c>
      <c r="H44" s="11">
        <v>398.59</v>
      </c>
      <c r="I44" s="11">
        <f t="shared" si="1"/>
        <v>1195.77</v>
      </c>
      <c r="J44">
        <f t="shared" si="2"/>
        <v>2024</v>
      </c>
      <c r="K44">
        <f t="shared" si="3"/>
        <v>12</v>
      </c>
      <c r="L44">
        <f t="shared" si="4"/>
        <v>16</v>
      </c>
      <c r="M44">
        <f t="shared" si="5"/>
        <v>2</v>
      </c>
      <c r="N44" s="9">
        <f t="shared" si="6"/>
        <v>478.30799999999999</v>
      </c>
      <c r="O44" s="9">
        <f t="shared" si="7"/>
        <v>119.577</v>
      </c>
      <c r="P44" t="str">
        <f t="shared" si="8"/>
        <v>2025_1</v>
      </c>
      <c r="Q44" t="str">
        <f>IF(Tabela1[[#This Row],[Total da Venda]]&gt;=10000,"VIP","NÃO VIP")</f>
        <v>NÃO VIP</v>
      </c>
    </row>
    <row r="45" spans="1:17" ht="15.75" customHeight="1" x14ac:dyDescent="0.25">
      <c r="A45" s="2">
        <v>45734</v>
      </c>
      <c r="B45" s="3">
        <v>7503</v>
      </c>
      <c r="C45" s="4" t="s">
        <v>84</v>
      </c>
      <c r="D45" s="4" t="s">
        <v>8</v>
      </c>
      <c r="E45" s="4" t="s">
        <v>40</v>
      </c>
      <c r="F45" s="4" t="s">
        <v>85</v>
      </c>
      <c r="G45" s="7">
        <v>5</v>
      </c>
      <c r="H45" s="11">
        <v>692.95</v>
      </c>
      <c r="I45" s="11">
        <f t="shared" si="1"/>
        <v>3464.75</v>
      </c>
      <c r="J45">
        <f t="shared" si="2"/>
        <v>2025</v>
      </c>
      <c r="K45">
        <f t="shared" si="3"/>
        <v>3</v>
      </c>
      <c r="L45">
        <f t="shared" si="4"/>
        <v>18</v>
      </c>
      <c r="M45">
        <f t="shared" si="5"/>
        <v>3</v>
      </c>
      <c r="N45" s="9">
        <f t="shared" si="6"/>
        <v>1385.9</v>
      </c>
      <c r="O45" s="9">
        <f t="shared" si="7"/>
        <v>346.47500000000002</v>
      </c>
      <c r="P45" t="str">
        <f t="shared" si="8"/>
        <v>2024_12</v>
      </c>
      <c r="Q45" t="str">
        <f>IF(Tabela1[[#This Row],[Total da Venda]]&gt;=10000,"VIP","NÃO VIP")</f>
        <v>NÃO VIP</v>
      </c>
    </row>
    <row r="46" spans="1:17" ht="15.75" customHeight="1" x14ac:dyDescent="0.25">
      <c r="A46" s="2">
        <v>45775</v>
      </c>
      <c r="B46" s="3">
        <v>8478</v>
      </c>
      <c r="C46" s="4" t="s">
        <v>86</v>
      </c>
      <c r="D46" s="4" t="s">
        <v>27</v>
      </c>
      <c r="E46" s="4" t="s">
        <v>40</v>
      </c>
      <c r="F46" s="4" t="s">
        <v>85</v>
      </c>
      <c r="G46" s="7">
        <v>6</v>
      </c>
      <c r="H46" s="11">
        <v>2724.4</v>
      </c>
      <c r="I46" s="11">
        <f t="shared" si="1"/>
        <v>16346.400000000001</v>
      </c>
      <c r="J46">
        <f t="shared" si="2"/>
        <v>2025</v>
      </c>
      <c r="K46">
        <f t="shared" si="3"/>
        <v>4</v>
      </c>
      <c r="L46">
        <f t="shared" si="4"/>
        <v>28</v>
      </c>
      <c r="M46">
        <f t="shared" si="5"/>
        <v>2</v>
      </c>
      <c r="N46" s="9">
        <f t="shared" si="6"/>
        <v>6538.5600000000013</v>
      </c>
      <c r="O46" s="9">
        <f t="shared" si="7"/>
        <v>1634.6400000000003</v>
      </c>
      <c r="P46" t="str">
        <f t="shared" si="8"/>
        <v>2025_3</v>
      </c>
      <c r="Q46" t="str">
        <f>IF(Tabela1[[#This Row],[Total da Venda]]&gt;=10000,"VIP","NÃO VIP")</f>
        <v>VIP</v>
      </c>
    </row>
    <row r="47" spans="1:17" ht="15.75" customHeight="1" x14ac:dyDescent="0.25">
      <c r="A47" s="2">
        <v>45764</v>
      </c>
      <c r="B47" s="3">
        <v>9631</v>
      </c>
      <c r="C47" s="4" t="s">
        <v>87</v>
      </c>
      <c r="D47" s="4" t="s">
        <v>22</v>
      </c>
      <c r="E47" s="4" t="s">
        <v>19</v>
      </c>
      <c r="F47" s="4" t="s">
        <v>75</v>
      </c>
      <c r="G47" s="7">
        <v>7</v>
      </c>
      <c r="H47" s="11">
        <v>593.29999999999995</v>
      </c>
      <c r="I47" s="11">
        <f t="shared" si="1"/>
        <v>4153.0999999999995</v>
      </c>
      <c r="J47">
        <f t="shared" si="2"/>
        <v>2025</v>
      </c>
      <c r="K47">
        <f t="shared" si="3"/>
        <v>4</v>
      </c>
      <c r="L47">
        <f t="shared" si="4"/>
        <v>17</v>
      </c>
      <c r="M47">
        <f t="shared" si="5"/>
        <v>5</v>
      </c>
      <c r="N47" s="9">
        <f t="shared" si="6"/>
        <v>1661.2399999999998</v>
      </c>
      <c r="O47" s="9">
        <f t="shared" si="7"/>
        <v>415.30999999999995</v>
      </c>
      <c r="P47" t="str">
        <f t="shared" si="8"/>
        <v>2025_4</v>
      </c>
      <c r="Q47" t="str">
        <f>IF(Tabela1[[#This Row],[Total da Venda]]&gt;=10000,"VIP","NÃO VIP")</f>
        <v>NÃO VIP</v>
      </c>
    </row>
    <row r="48" spans="1:17" ht="15.75" customHeight="1" x14ac:dyDescent="0.25">
      <c r="A48" s="2">
        <v>45769</v>
      </c>
      <c r="B48" s="3">
        <v>9239</v>
      </c>
      <c r="C48" s="4" t="s">
        <v>88</v>
      </c>
      <c r="D48" s="4" t="s">
        <v>12</v>
      </c>
      <c r="E48" s="4" t="s">
        <v>19</v>
      </c>
      <c r="F48" s="4" t="s">
        <v>47</v>
      </c>
      <c r="G48" s="7">
        <v>5</v>
      </c>
      <c r="H48" s="11">
        <v>82.28</v>
      </c>
      <c r="I48" s="11">
        <f t="shared" si="1"/>
        <v>411.4</v>
      </c>
      <c r="J48">
        <f t="shared" si="2"/>
        <v>2025</v>
      </c>
      <c r="K48">
        <f t="shared" si="3"/>
        <v>4</v>
      </c>
      <c r="L48">
        <f t="shared" si="4"/>
        <v>22</v>
      </c>
      <c r="M48">
        <f t="shared" si="5"/>
        <v>3</v>
      </c>
      <c r="N48" s="9">
        <f t="shared" si="6"/>
        <v>164.56</v>
      </c>
      <c r="O48" s="9">
        <f t="shared" si="7"/>
        <v>41.14</v>
      </c>
      <c r="P48" t="str">
        <f t="shared" si="8"/>
        <v>2025_4</v>
      </c>
      <c r="Q48" t="str">
        <f>IF(Tabela1[[#This Row],[Total da Venda]]&gt;=10000,"VIP","NÃO VIP")</f>
        <v>NÃO VIP</v>
      </c>
    </row>
    <row r="49" spans="1:17" ht="15.75" customHeight="1" x14ac:dyDescent="0.25">
      <c r="A49" s="2">
        <v>45690</v>
      </c>
      <c r="B49" s="3">
        <v>6714</v>
      </c>
      <c r="C49" s="4" t="s">
        <v>89</v>
      </c>
      <c r="D49" s="4" t="s">
        <v>22</v>
      </c>
      <c r="E49" s="4" t="s">
        <v>19</v>
      </c>
      <c r="F49" s="4" t="s">
        <v>47</v>
      </c>
      <c r="G49" s="7">
        <v>3</v>
      </c>
      <c r="H49" s="11">
        <v>2256.13</v>
      </c>
      <c r="I49" s="11">
        <f t="shared" si="1"/>
        <v>6768.39</v>
      </c>
      <c r="J49">
        <f t="shared" si="2"/>
        <v>2025</v>
      </c>
      <c r="K49">
        <f t="shared" si="3"/>
        <v>2</v>
      </c>
      <c r="L49">
        <f t="shared" si="4"/>
        <v>2</v>
      </c>
      <c r="M49">
        <f t="shared" si="5"/>
        <v>1</v>
      </c>
      <c r="N49" s="9">
        <f t="shared" si="6"/>
        <v>2707.3560000000002</v>
      </c>
      <c r="O49" s="9">
        <f t="shared" si="7"/>
        <v>676.83900000000006</v>
      </c>
      <c r="P49" t="str">
        <f t="shared" si="8"/>
        <v>2025_4</v>
      </c>
      <c r="Q49" t="str">
        <f>IF(Tabela1[[#This Row],[Total da Venda]]&gt;=10000,"VIP","NÃO VIP")</f>
        <v>NÃO VIP</v>
      </c>
    </row>
    <row r="50" spans="1:17" ht="15.75" customHeight="1" x14ac:dyDescent="0.25">
      <c r="A50" s="2">
        <v>45653</v>
      </c>
      <c r="B50" s="3">
        <v>8085</v>
      </c>
      <c r="C50" s="4" t="s">
        <v>90</v>
      </c>
      <c r="D50" s="4" t="s">
        <v>16</v>
      </c>
      <c r="E50" s="4" t="s">
        <v>52</v>
      </c>
      <c r="F50" s="4" t="s">
        <v>82</v>
      </c>
      <c r="G50" s="7">
        <v>6</v>
      </c>
      <c r="H50" s="11">
        <v>997.47</v>
      </c>
      <c r="I50" s="11">
        <f t="shared" si="1"/>
        <v>5984.82</v>
      </c>
      <c r="J50">
        <f t="shared" si="2"/>
        <v>2024</v>
      </c>
      <c r="K50">
        <f t="shared" si="3"/>
        <v>12</v>
      </c>
      <c r="L50">
        <f t="shared" si="4"/>
        <v>27</v>
      </c>
      <c r="M50">
        <f t="shared" si="5"/>
        <v>6</v>
      </c>
      <c r="N50" s="9">
        <f t="shared" si="6"/>
        <v>2393.9279999999999</v>
      </c>
      <c r="O50" s="9">
        <f t="shared" si="7"/>
        <v>598.48199999999997</v>
      </c>
      <c r="P50" t="str">
        <f t="shared" si="8"/>
        <v>2025_2</v>
      </c>
      <c r="Q50" t="str">
        <f>IF(Tabela1[[#This Row],[Total da Venda]]&gt;=10000,"VIP","NÃO VIP")</f>
        <v>NÃO VIP</v>
      </c>
    </row>
    <row r="51" spans="1:17" ht="15.75" customHeight="1" x14ac:dyDescent="0.25">
      <c r="A51" s="2">
        <v>45764</v>
      </c>
      <c r="B51" s="3">
        <v>8963</v>
      </c>
      <c r="C51" s="4" t="s">
        <v>91</v>
      </c>
      <c r="D51" s="4" t="s">
        <v>16</v>
      </c>
      <c r="E51" s="4" t="s">
        <v>40</v>
      </c>
      <c r="F51" s="4" t="s">
        <v>61</v>
      </c>
      <c r="G51" s="7">
        <v>6</v>
      </c>
      <c r="H51" s="11">
        <v>1921.29</v>
      </c>
      <c r="I51" s="11">
        <f t="shared" si="1"/>
        <v>11527.74</v>
      </c>
      <c r="J51">
        <f t="shared" si="2"/>
        <v>2025</v>
      </c>
      <c r="K51">
        <f t="shared" si="3"/>
        <v>4</v>
      </c>
      <c r="L51">
        <f t="shared" si="4"/>
        <v>17</v>
      </c>
      <c r="M51">
        <f t="shared" si="5"/>
        <v>5</v>
      </c>
      <c r="N51" s="9">
        <f t="shared" si="6"/>
        <v>4611.0960000000005</v>
      </c>
      <c r="O51" s="9">
        <f t="shared" si="7"/>
        <v>1152.7740000000001</v>
      </c>
      <c r="P51" t="str">
        <f t="shared" si="8"/>
        <v>2024_12</v>
      </c>
      <c r="Q51" t="str">
        <f>IF(Tabela1[[#This Row],[Total da Venda]]&gt;=10000,"VIP","NÃO VIP")</f>
        <v>VIP</v>
      </c>
    </row>
    <row r="52" spans="1:17" ht="15.75" customHeight="1" x14ac:dyDescent="0.25">
      <c r="A52" s="2">
        <v>45647</v>
      </c>
      <c r="B52" s="3">
        <v>9585</v>
      </c>
      <c r="C52" s="4" t="s">
        <v>92</v>
      </c>
      <c r="D52" s="4" t="s">
        <v>16</v>
      </c>
      <c r="E52" s="4" t="s">
        <v>9</v>
      </c>
      <c r="F52" s="4" t="s">
        <v>10</v>
      </c>
      <c r="G52" s="7">
        <v>7</v>
      </c>
      <c r="H52" s="11">
        <v>923.47</v>
      </c>
      <c r="I52" s="11">
        <f t="shared" si="1"/>
        <v>6464.29</v>
      </c>
      <c r="J52">
        <f t="shared" si="2"/>
        <v>2024</v>
      </c>
      <c r="K52">
        <f t="shared" si="3"/>
        <v>12</v>
      </c>
      <c r="L52">
        <f t="shared" si="4"/>
        <v>21</v>
      </c>
      <c r="M52">
        <f t="shared" si="5"/>
        <v>7</v>
      </c>
      <c r="N52" s="9">
        <f t="shared" si="6"/>
        <v>2585.7160000000003</v>
      </c>
      <c r="O52" s="9">
        <f t="shared" si="7"/>
        <v>646.42900000000009</v>
      </c>
      <c r="P52" t="str">
        <f t="shared" si="8"/>
        <v>2025_4</v>
      </c>
      <c r="Q52" t="str">
        <f>IF(Tabela1[[#This Row],[Total da Venda]]&gt;=10000,"VIP","NÃO VIP")</f>
        <v>NÃO VIP</v>
      </c>
    </row>
    <row r="53" spans="1:17" ht="15.75" customHeight="1" x14ac:dyDescent="0.25">
      <c r="A53" s="2">
        <v>45797</v>
      </c>
      <c r="B53" s="3">
        <v>2587</v>
      </c>
      <c r="C53" s="4" t="s">
        <v>93</v>
      </c>
      <c r="D53" s="4" t="s">
        <v>12</v>
      </c>
      <c r="E53" s="4" t="s">
        <v>13</v>
      </c>
      <c r="F53" s="4" t="s">
        <v>30</v>
      </c>
      <c r="G53" s="7">
        <v>2</v>
      </c>
      <c r="H53" s="11">
        <v>2985.62</v>
      </c>
      <c r="I53" s="11">
        <f t="shared" si="1"/>
        <v>5971.24</v>
      </c>
      <c r="J53">
        <f t="shared" si="2"/>
        <v>2025</v>
      </c>
      <c r="K53">
        <f t="shared" si="3"/>
        <v>5</v>
      </c>
      <c r="L53">
        <f t="shared" si="4"/>
        <v>20</v>
      </c>
      <c r="M53">
        <f t="shared" si="5"/>
        <v>3</v>
      </c>
      <c r="N53" s="9">
        <f t="shared" si="6"/>
        <v>2388.4960000000001</v>
      </c>
      <c r="O53" s="9">
        <f t="shared" si="7"/>
        <v>597.12400000000002</v>
      </c>
      <c r="P53" t="str">
        <f t="shared" si="8"/>
        <v>2024_12</v>
      </c>
      <c r="Q53" t="str">
        <f>IF(Tabela1[[#This Row],[Total da Venda]]&gt;=10000,"VIP","NÃO VIP")</f>
        <v>NÃO VIP</v>
      </c>
    </row>
    <row r="54" spans="1:17" ht="15.75" customHeight="1" x14ac:dyDescent="0.25">
      <c r="A54" s="2">
        <v>45710</v>
      </c>
      <c r="B54" s="3">
        <v>5130</v>
      </c>
      <c r="C54" s="4" t="s">
        <v>94</v>
      </c>
      <c r="D54" s="4" t="s">
        <v>16</v>
      </c>
      <c r="E54" s="4" t="s">
        <v>13</v>
      </c>
      <c r="F54" s="4" t="s">
        <v>64</v>
      </c>
      <c r="G54" s="7">
        <v>6</v>
      </c>
      <c r="H54" s="11">
        <v>1114.56</v>
      </c>
      <c r="I54" s="11">
        <f t="shared" si="1"/>
        <v>6687.36</v>
      </c>
      <c r="J54">
        <f t="shared" si="2"/>
        <v>2025</v>
      </c>
      <c r="K54">
        <f t="shared" si="3"/>
        <v>2</v>
      </c>
      <c r="L54">
        <f t="shared" si="4"/>
        <v>22</v>
      </c>
      <c r="M54">
        <f t="shared" si="5"/>
        <v>7</v>
      </c>
      <c r="N54" s="9">
        <f t="shared" si="6"/>
        <v>2674.944</v>
      </c>
      <c r="O54" s="9">
        <f t="shared" si="7"/>
        <v>668.73599999999999</v>
      </c>
      <c r="P54" t="str">
        <f t="shared" si="8"/>
        <v>2025_5</v>
      </c>
      <c r="Q54" t="str">
        <f>IF(Tabela1[[#This Row],[Total da Venda]]&gt;=10000,"VIP","NÃO VIP")</f>
        <v>NÃO VIP</v>
      </c>
    </row>
    <row r="55" spans="1:17" ht="15.75" customHeight="1" x14ac:dyDescent="0.25">
      <c r="A55" s="2">
        <v>45723</v>
      </c>
      <c r="B55" s="3">
        <v>8290</v>
      </c>
      <c r="C55" s="4" t="s">
        <v>95</v>
      </c>
      <c r="D55" s="4" t="s">
        <v>16</v>
      </c>
      <c r="E55" s="4" t="s">
        <v>40</v>
      </c>
      <c r="F55" s="4" t="s">
        <v>45</v>
      </c>
      <c r="G55" s="7">
        <v>9</v>
      </c>
      <c r="H55" s="11">
        <v>2962.51</v>
      </c>
      <c r="I55" s="11">
        <f t="shared" si="1"/>
        <v>26662.590000000004</v>
      </c>
      <c r="J55">
        <f t="shared" si="2"/>
        <v>2025</v>
      </c>
      <c r="K55">
        <f t="shared" si="3"/>
        <v>3</v>
      </c>
      <c r="L55">
        <f t="shared" si="4"/>
        <v>7</v>
      </c>
      <c r="M55">
        <f t="shared" si="5"/>
        <v>6</v>
      </c>
      <c r="N55" s="9">
        <f t="shared" si="6"/>
        <v>10665.036000000002</v>
      </c>
      <c r="O55" s="9">
        <f t="shared" si="7"/>
        <v>2666.2590000000005</v>
      </c>
      <c r="P55" t="str">
        <f t="shared" si="8"/>
        <v>2025_2</v>
      </c>
      <c r="Q55" t="str">
        <f>IF(Tabela1[[#This Row],[Total da Venda]]&gt;=10000,"VIP","NÃO VIP")</f>
        <v>VIP</v>
      </c>
    </row>
    <row r="56" spans="1:17" ht="15.75" customHeight="1" x14ac:dyDescent="0.25">
      <c r="A56" s="2">
        <v>45716</v>
      </c>
      <c r="B56" s="3">
        <v>7951</v>
      </c>
      <c r="C56" s="4" t="s">
        <v>96</v>
      </c>
      <c r="D56" s="4" t="s">
        <v>16</v>
      </c>
      <c r="E56" s="4" t="s">
        <v>52</v>
      </c>
      <c r="F56" s="4" t="s">
        <v>97</v>
      </c>
      <c r="G56" s="7">
        <v>9</v>
      </c>
      <c r="H56" s="11">
        <v>2722.7</v>
      </c>
      <c r="I56" s="11">
        <f t="shared" si="1"/>
        <v>24504.3</v>
      </c>
      <c r="J56">
        <f t="shared" si="2"/>
        <v>2025</v>
      </c>
      <c r="K56">
        <f t="shared" si="3"/>
        <v>2</v>
      </c>
      <c r="L56">
        <f t="shared" si="4"/>
        <v>28</v>
      </c>
      <c r="M56">
        <f t="shared" si="5"/>
        <v>6</v>
      </c>
      <c r="N56" s="9">
        <f t="shared" si="6"/>
        <v>9801.7199999999993</v>
      </c>
      <c r="O56" s="9">
        <f t="shared" si="7"/>
        <v>2450.4299999999998</v>
      </c>
      <c r="P56" t="str">
        <f t="shared" si="8"/>
        <v>2025_3</v>
      </c>
      <c r="Q56" t="str">
        <f>IF(Tabela1[[#This Row],[Total da Venda]]&gt;=10000,"VIP","NÃO VIP")</f>
        <v>VIP</v>
      </c>
    </row>
    <row r="57" spans="1:17" ht="15.75" customHeight="1" x14ac:dyDescent="0.25">
      <c r="A57" s="2">
        <v>45653</v>
      </c>
      <c r="B57" s="3">
        <v>2340</v>
      </c>
      <c r="C57" s="4" t="s">
        <v>98</v>
      </c>
      <c r="D57" s="4" t="s">
        <v>8</v>
      </c>
      <c r="E57" s="4" t="s">
        <v>40</v>
      </c>
      <c r="F57" s="4" t="s">
        <v>45</v>
      </c>
      <c r="G57" s="7">
        <v>9</v>
      </c>
      <c r="H57" s="11">
        <v>1770.78</v>
      </c>
      <c r="I57" s="11">
        <f t="shared" si="1"/>
        <v>15937.02</v>
      </c>
      <c r="J57">
        <f t="shared" si="2"/>
        <v>2024</v>
      </c>
      <c r="K57">
        <f t="shared" si="3"/>
        <v>12</v>
      </c>
      <c r="L57">
        <f t="shared" si="4"/>
        <v>27</v>
      </c>
      <c r="M57">
        <f t="shared" si="5"/>
        <v>6</v>
      </c>
      <c r="N57" s="9">
        <f t="shared" si="6"/>
        <v>6374.8080000000009</v>
      </c>
      <c r="O57" s="9">
        <f t="shared" si="7"/>
        <v>1593.7020000000002</v>
      </c>
      <c r="P57" t="str">
        <f t="shared" si="8"/>
        <v>2025_2</v>
      </c>
      <c r="Q57" t="str">
        <f>IF(Tabela1[[#This Row],[Total da Venda]]&gt;=10000,"VIP","NÃO VIP")</f>
        <v>VIP</v>
      </c>
    </row>
    <row r="58" spans="1:17" ht="15.75" customHeight="1" x14ac:dyDescent="0.25">
      <c r="A58" s="2">
        <v>45723</v>
      </c>
      <c r="B58" s="3">
        <v>3003</v>
      </c>
      <c r="C58" s="4" t="s">
        <v>99</v>
      </c>
      <c r="D58" s="4" t="s">
        <v>37</v>
      </c>
      <c r="E58" s="4" t="s">
        <v>9</v>
      </c>
      <c r="F58" s="4" t="s">
        <v>25</v>
      </c>
      <c r="G58" s="7">
        <v>10</v>
      </c>
      <c r="H58" s="11">
        <v>1798.72</v>
      </c>
      <c r="I58" s="11">
        <f t="shared" si="1"/>
        <v>17987.2</v>
      </c>
      <c r="J58">
        <f t="shared" si="2"/>
        <v>2025</v>
      </c>
      <c r="K58">
        <f t="shared" si="3"/>
        <v>3</v>
      </c>
      <c r="L58">
        <f t="shared" si="4"/>
        <v>7</v>
      </c>
      <c r="M58">
        <f t="shared" si="5"/>
        <v>6</v>
      </c>
      <c r="N58" s="9">
        <f t="shared" si="6"/>
        <v>7194.880000000001</v>
      </c>
      <c r="O58" s="9">
        <f t="shared" si="7"/>
        <v>1798.7200000000003</v>
      </c>
      <c r="P58" t="str">
        <f t="shared" si="8"/>
        <v>2024_12</v>
      </c>
      <c r="Q58" t="str">
        <f>IF(Tabela1[[#This Row],[Total da Venda]]&gt;=10000,"VIP","NÃO VIP")</f>
        <v>VIP</v>
      </c>
    </row>
    <row r="59" spans="1:17" ht="15.75" customHeight="1" x14ac:dyDescent="0.25">
      <c r="A59" s="2">
        <v>45651</v>
      </c>
      <c r="B59" s="3">
        <v>7341</v>
      </c>
      <c r="C59" s="4" t="s">
        <v>100</v>
      </c>
      <c r="D59" s="4" t="s">
        <v>37</v>
      </c>
      <c r="E59" s="4" t="s">
        <v>52</v>
      </c>
      <c r="F59" s="4" t="s">
        <v>97</v>
      </c>
      <c r="G59" s="7">
        <v>9</v>
      </c>
      <c r="H59" s="11">
        <v>1385.18</v>
      </c>
      <c r="I59" s="11">
        <f t="shared" si="1"/>
        <v>12466.62</v>
      </c>
      <c r="J59">
        <f t="shared" si="2"/>
        <v>2024</v>
      </c>
      <c r="K59">
        <f t="shared" si="3"/>
        <v>12</v>
      </c>
      <c r="L59">
        <f t="shared" si="4"/>
        <v>25</v>
      </c>
      <c r="M59">
        <f t="shared" si="5"/>
        <v>4</v>
      </c>
      <c r="N59" s="9">
        <f t="shared" si="6"/>
        <v>4986.648000000001</v>
      </c>
      <c r="O59" s="9">
        <f t="shared" si="7"/>
        <v>1246.6620000000003</v>
      </c>
      <c r="P59" t="str">
        <f t="shared" si="8"/>
        <v>2025_3</v>
      </c>
      <c r="Q59" t="str">
        <f>IF(Tabela1[[#This Row],[Total da Venda]]&gt;=10000,"VIP","NÃO VIP")</f>
        <v>VIP</v>
      </c>
    </row>
    <row r="60" spans="1:17" ht="15.75" customHeight="1" x14ac:dyDescent="0.25">
      <c r="A60" s="2">
        <v>45712</v>
      </c>
      <c r="B60" s="3">
        <v>7331</v>
      </c>
      <c r="C60" s="4" t="s">
        <v>101</v>
      </c>
      <c r="D60" s="4" t="s">
        <v>8</v>
      </c>
      <c r="E60" s="4" t="s">
        <v>9</v>
      </c>
      <c r="F60" s="4" t="s">
        <v>102</v>
      </c>
      <c r="G60" s="7">
        <v>3</v>
      </c>
      <c r="H60" s="11">
        <v>1217.57</v>
      </c>
      <c r="I60" s="11">
        <f t="shared" si="1"/>
        <v>3652.71</v>
      </c>
      <c r="J60">
        <f t="shared" si="2"/>
        <v>2025</v>
      </c>
      <c r="K60">
        <f t="shared" si="3"/>
        <v>2</v>
      </c>
      <c r="L60">
        <f t="shared" si="4"/>
        <v>24</v>
      </c>
      <c r="M60">
        <f t="shared" si="5"/>
        <v>2</v>
      </c>
      <c r="N60" s="9">
        <f t="shared" si="6"/>
        <v>1461.0840000000001</v>
      </c>
      <c r="O60" s="9">
        <f t="shared" si="7"/>
        <v>365.27100000000002</v>
      </c>
      <c r="P60" t="str">
        <f t="shared" si="8"/>
        <v>2024_12</v>
      </c>
      <c r="Q60" t="str">
        <f>IF(Tabela1[[#This Row],[Total da Venda]]&gt;=10000,"VIP","NÃO VIP")</f>
        <v>NÃO VIP</v>
      </c>
    </row>
    <row r="61" spans="1:17" ht="15.75" customHeight="1" x14ac:dyDescent="0.25">
      <c r="A61" s="2">
        <v>45803</v>
      </c>
      <c r="B61" s="3">
        <v>3189</v>
      </c>
      <c r="C61" s="4" t="s">
        <v>103</v>
      </c>
      <c r="D61" s="4" t="s">
        <v>27</v>
      </c>
      <c r="E61" s="4" t="s">
        <v>19</v>
      </c>
      <c r="F61" s="4" t="s">
        <v>32</v>
      </c>
      <c r="G61" s="7">
        <v>1</v>
      </c>
      <c r="H61" s="11">
        <v>2524.6799999999998</v>
      </c>
      <c r="I61" s="11">
        <f t="shared" si="1"/>
        <v>2524.6799999999998</v>
      </c>
      <c r="J61">
        <f t="shared" si="2"/>
        <v>2025</v>
      </c>
      <c r="K61">
        <f t="shared" si="3"/>
        <v>5</v>
      </c>
      <c r="L61">
        <f t="shared" si="4"/>
        <v>26</v>
      </c>
      <c r="M61">
        <f t="shared" si="5"/>
        <v>2</v>
      </c>
      <c r="N61" s="9">
        <f t="shared" si="6"/>
        <v>1009.872</v>
      </c>
      <c r="O61" s="9">
        <f t="shared" si="7"/>
        <v>252.46799999999999</v>
      </c>
      <c r="P61" t="str">
        <f t="shared" si="8"/>
        <v>2025_2</v>
      </c>
      <c r="Q61" t="str">
        <f>IF(Tabela1[[#This Row],[Total da Venda]]&gt;=10000,"VIP","NÃO VIP")</f>
        <v>NÃO VIP</v>
      </c>
    </row>
    <row r="62" spans="1:17" ht="15.75" customHeight="1" x14ac:dyDescent="0.25">
      <c r="A62" s="2">
        <v>45652</v>
      </c>
      <c r="B62" s="3">
        <v>2183</v>
      </c>
      <c r="C62" s="4" t="s">
        <v>104</v>
      </c>
      <c r="D62" s="4" t="s">
        <v>16</v>
      </c>
      <c r="E62" s="4" t="s">
        <v>19</v>
      </c>
      <c r="F62" s="4" t="s">
        <v>32</v>
      </c>
      <c r="G62" s="7">
        <v>4</v>
      </c>
      <c r="H62" s="11">
        <v>2082.1999999999998</v>
      </c>
      <c r="I62" s="11">
        <f t="shared" si="1"/>
        <v>8328.7999999999993</v>
      </c>
      <c r="J62">
        <f t="shared" si="2"/>
        <v>2024</v>
      </c>
      <c r="K62">
        <f t="shared" si="3"/>
        <v>12</v>
      </c>
      <c r="L62">
        <f t="shared" si="4"/>
        <v>26</v>
      </c>
      <c r="M62">
        <f t="shared" si="5"/>
        <v>5</v>
      </c>
      <c r="N62" s="9">
        <f t="shared" si="6"/>
        <v>3331.52</v>
      </c>
      <c r="O62" s="9">
        <f t="shared" si="7"/>
        <v>832.88</v>
      </c>
      <c r="P62" t="str">
        <f t="shared" si="8"/>
        <v>2025_5</v>
      </c>
      <c r="Q62" t="str">
        <f>IF(Tabela1[[#This Row],[Total da Venda]]&gt;=10000,"VIP","NÃO VIP")</f>
        <v>NÃO VIP</v>
      </c>
    </row>
    <row r="63" spans="1:17" ht="15.75" customHeight="1" x14ac:dyDescent="0.25">
      <c r="A63" s="2">
        <v>45726</v>
      </c>
      <c r="B63" s="3">
        <v>8421</v>
      </c>
      <c r="C63" s="4" t="s">
        <v>105</v>
      </c>
      <c r="D63" s="4" t="s">
        <v>12</v>
      </c>
      <c r="E63" s="4" t="s">
        <v>19</v>
      </c>
      <c r="F63" s="4" t="s">
        <v>75</v>
      </c>
      <c r="G63" s="7">
        <v>1</v>
      </c>
      <c r="H63" s="11">
        <v>841.55</v>
      </c>
      <c r="I63" s="11">
        <f t="shared" si="1"/>
        <v>841.55</v>
      </c>
      <c r="J63">
        <f t="shared" si="2"/>
        <v>2025</v>
      </c>
      <c r="K63">
        <f t="shared" si="3"/>
        <v>3</v>
      </c>
      <c r="L63">
        <f t="shared" si="4"/>
        <v>10</v>
      </c>
      <c r="M63">
        <f t="shared" si="5"/>
        <v>2</v>
      </c>
      <c r="N63" s="9">
        <f t="shared" si="6"/>
        <v>336.62</v>
      </c>
      <c r="O63" s="9">
        <f t="shared" si="7"/>
        <v>84.155000000000001</v>
      </c>
      <c r="P63" t="str">
        <f t="shared" si="8"/>
        <v>2024_12</v>
      </c>
      <c r="Q63" t="str">
        <f>IF(Tabela1[[#This Row],[Total da Venda]]&gt;=10000,"VIP","NÃO VIP")</f>
        <v>NÃO VIP</v>
      </c>
    </row>
    <row r="64" spans="1:17" ht="15.75" customHeight="1" x14ac:dyDescent="0.25">
      <c r="A64" s="2">
        <v>45783</v>
      </c>
      <c r="B64" s="3">
        <v>4392</v>
      </c>
      <c r="C64" s="4" t="s">
        <v>106</v>
      </c>
      <c r="D64" s="4" t="s">
        <v>16</v>
      </c>
      <c r="E64" s="4" t="s">
        <v>40</v>
      </c>
      <c r="F64" s="4" t="s">
        <v>61</v>
      </c>
      <c r="G64" s="7">
        <v>10</v>
      </c>
      <c r="H64" s="11">
        <v>2302.59</v>
      </c>
      <c r="I64" s="11">
        <f t="shared" si="1"/>
        <v>23025.9</v>
      </c>
      <c r="J64">
        <f t="shared" si="2"/>
        <v>2025</v>
      </c>
      <c r="K64">
        <f t="shared" si="3"/>
        <v>5</v>
      </c>
      <c r="L64">
        <f t="shared" si="4"/>
        <v>6</v>
      </c>
      <c r="M64">
        <f t="shared" si="5"/>
        <v>3</v>
      </c>
      <c r="N64" s="9">
        <f t="shared" si="6"/>
        <v>9210.36</v>
      </c>
      <c r="O64" s="9">
        <f t="shared" si="7"/>
        <v>2302.59</v>
      </c>
      <c r="P64" t="str">
        <f t="shared" si="8"/>
        <v>2025_3</v>
      </c>
      <c r="Q64" t="str">
        <f>IF(Tabela1[[#This Row],[Total da Venda]]&gt;=10000,"VIP","NÃO VIP")</f>
        <v>VIP</v>
      </c>
    </row>
    <row r="65" spans="1:17" ht="15.75" customHeight="1" x14ac:dyDescent="0.25">
      <c r="A65" s="2">
        <v>45639</v>
      </c>
      <c r="B65" s="3">
        <v>8413</v>
      </c>
      <c r="C65" s="4" t="s">
        <v>107</v>
      </c>
      <c r="D65" s="4" t="s">
        <v>27</v>
      </c>
      <c r="E65" s="4" t="s">
        <v>9</v>
      </c>
      <c r="F65" s="4" t="s">
        <v>43</v>
      </c>
      <c r="G65" s="7">
        <v>7</v>
      </c>
      <c r="H65" s="11">
        <v>215.83</v>
      </c>
      <c r="I65" s="11">
        <f t="shared" si="1"/>
        <v>1510.8100000000002</v>
      </c>
      <c r="J65">
        <f t="shared" si="2"/>
        <v>2024</v>
      </c>
      <c r="K65">
        <f t="shared" si="3"/>
        <v>12</v>
      </c>
      <c r="L65">
        <f t="shared" si="4"/>
        <v>13</v>
      </c>
      <c r="M65">
        <f t="shared" si="5"/>
        <v>6</v>
      </c>
      <c r="N65" s="9">
        <f t="shared" si="6"/>
        <v>604.32400000000007</v>
      </c>
      <c r="O65" s="9">
        <f t="shared" si="7"/>
        <v>151.08100000000002</v>
      </c>
      <c r="P65" t="str">
        <f t="shared" si="8"/>
        <v>2025_5</v>
      </c>
      <c r="Q65" t="str">
        <f>IF(Tabela1[[#This Row],[Total da Venda]]&gt;=10000,"VIP","NÃO VIP")</f>
        <v>NÃO VIP</v>
      </c>
    </row>
    <row r="66" spans="1:17" ht="15.75" customHeight="1" x14ac:dyDescent="0.25">
      <c r="A66" s="2">
        <v>45818</v>
      </c>
      <c r="B66" s="3">
        <v>9812</v>
      </c>
      <c r="C66" s="4" t="s">
        <v>108</v>
      </c>
      <c r="D66" s="4" t="s">
        <v>8</v>
      </c>
      <c r="E66" s="4" t="s">
        <v>52</v>
      </c>
      <c r="F66" s="4" t="s">
        <v>72</v>
      </c>
      <c r="G66" s="7">
        <v>9</v>
      </c>
      <c r="H66" s="11">
        <v>934.59</v>
      </c>
      <c r="I66" s="11">
        <f t="shared" si="1"/>
        <v>8411.31</v>
      </c>
      <c r="J66">
        <f t="shared" si="2"/>
        <v>2025</v>
      </c>
      <c r="K66">
        <f t="shared" si="3"/>
        <v>6</v>
      </c>
      <c r="L66">
        <f t="shared" si="4"/>
        <v>10</v>
      </c>
      <c r="M66">
        <f t="shared" si="5"/>
        <v>3</v>
      </c>
      <c r="N66" s="9">
        <f t="shared" si="6"/>
        <v>3364.5239999999999</v>
      </c>
      <c r="O66" s="9">
        <f t="shared" si="7"/>
        <v>841.13099999999997</v>
      </c>
      <c r="P66" t="str">
        <f t="shared" ref="P66:P97" si="9">CONCATENATE(J65,"_",K65)</f>
        <v>2024_12</v>
      </c>
      <c r="Q66" t="str">
        <f>IF(Tabela1[[#This Row],[Total da Venda]]&gt;=10000,"VIP","NÃO VIP")</f>
        <v>NÃO VIP</v>
      </c>
    </row>
    <row r="67" spans="1:17" ht="15.75" customHeight="1" x14ac:dyDescent="0.25">
      <c r="A67" s="2">
        <v>45759</v>
      </c>
      <c r="B67" s="3">
        <v>4562</v>
      </c>
      <c r="C67" s="4" t="s">
        <v>109</v>
      </c>
      <c r="D67" s="4" t="s">
        <v>12</v>
      </c>
      <c r="E67" s="4" t="s">
        <v>19</v>
      </c>
      <c r="F67" s="4" t="s">
        <v>47</v>
      </c>
      <c r="G67" s="7">
        <v>10</v>
      </c>
      <c r="H67" s="11">
        <v>2094.2399999999998</v>
      </c>
      <c r="I67" s="11">
        <f t="shared" ref="I67:I130" si="10">G67*H67</f>
        <v>20942.399999999998</v>
      </c>
      <c r="J67">
        <f t="shared" ref="J67:J130" si="11">YEAR(A67)</f>
        <v>2025</v>
      </c>
      <c r="K67">
        <f t="shared" ref="K67:K130" si="12">MONTH(A67)</f>
        <v>4</v>
      </c>
      <c r="L67">
        <f t="shared" ref="L67:L130" si="13">DAY(A67)</f>
        <v>12</v>
      </c>
      <c r="M67">
        <f t="shared" ref="M67:M130" si="14">WEEKDAY(A67)</f>
        <v>7</v>
      </c>
      <c r="N67" s="9">
        <f t="shared" ref="N67:N130" si="15">I67*0.4</f>
        <v>8376.9599999999991</v>
      </c>
      <c r="O67" s="9">
        <f t="shared" ref="O67:O130" si="16">I67*0.1</f>
        <v>2094.2399999999998</v>
      </c>
      <c r="P67" t="str">
        <f t="shared" si="9"/>
        <v>2025_6</v>
      </c>
      <c r="Q67" t="str">
        <f>IF(Tabela1[[#This Row],[Total da Venda]]&gt;=10000,"VIP","NÃO VIP")</f>
        <v>VIP</v>
      </c>
    </row>
    <row r="68" spans="1:17" ht="15.75" customHeight="1" x14ac:dyDescent="0.25">
      <c r="A68" s="2">
        <v>45675</v>
      </c>
      <c r="B68" s="3">
        <v>5156</v>
      </c>
      <c r="C68" s="4" t="s">
        <v>110</v>
      </c>
      <c r="D68" s="4" t="s">
        <v>16</v>
      </c>
      <c r="E68" s="4" t="s">
        <v>19</v>
      </c>
      <c r="F68" s="4" t="s">
        <v>23</v>
      </c>
      <c r="G68" s="7">
        <v>5</v>
      </c>
      <c r="H68" s="11">
        <v>457.74</v>
      </c>
      <c r="I68" s="11">
        <f t="shared" si="10"/>
        <v>2288.6999999999998</v>
      </c>
      <c r="J68">
        <f t="shared" si="11"/>
        <v>2025</v>
      </c>
      <c r="K68">
        <f t="shared" si="12"/>
        <v>1</v>
      </c>
      <c r="L68">
        <f t="shared" si="13"/>
        <v>18</v>
      </c>
      <c r="M68">
        <f t="shared" si="14"/>
        <v>7</v>
      </c>
      <c r="N68" s="9">
        <f t="shared" si="15"/>
        <v>915.48</v>
      </c>
      <c r="O68" s="9">
        <f t="shared" si="16"/>
        <v>228.87</v>
      </c>
      <c r="P68" t="str">
        <f t="shared" si="9"/>
        <v>2025_4</v>
      </c>
      <c r="Q68" t="str">
        <f>IF(Tabela1[[#This Row],[Total da Venda]]&gt;=10000,"VIP","NÃO VIP")</f>
        <v>NÃO VIP</v>
      </c>
    </row>
    <row r="69" spans="1:17" ht="15.75" customHeight="1" x14ac:dyDescent="0.25">
      <c r="A69" s="2">
        <v>45757</v>
      </c>
      <c r="B69" s="3">
        <v>4693</v>
      </c>
      <c r="C69" s="4" t="s">
        <v>111</v>
      </c>
      <c r="D69" s="4" t="s">
        <v>16</v>
      </c>
      <c r="E69" s="4" t="s">
        <v>9</v>
      </c>
      <c r="F69" s="4" t="s">
        <v>43</v>
      </c>
      <c r="G69" s="7">
        <v>7</v>
      </c>
      <c r="H69" s="11">
        <v>2258.73</v>
      </c>
      <c r="I69" s="11">
        <f t="shared" si="10"/>
        <v>15811.11</v>
      </c>
      <c r="J69">
        <f t="shared" si="11"/>
        <v>2025</v>
      </c>
      <c r="K69">
        <f t="shared" si="12"/>
        <v>4</v>
      </c>
      <c r="L69">
        <f t="shared" si="13"/>
        <v>10</v>
      </c>
      <c r="M69">
        <f t="shared" si="14"/>
        <v>5</v>
      </c>
      <c r="N69" s="9">
        <f t="shared" si="15"/>
        <v>6324.4440000000004</v>
      </c>
      <c r="O69" s="9">
        <f t="shared" si="16"/>
        <v>1581.1110000000001</v>
      </c>
      <c r="P69" t="str">
        <f t="shared" si="9"/>
        <v>2025_1</v>
      </c>
      <c r="Q69" t="str">
        <f>IF(Tabela1[[#This Row],[Total da Venda]]&gt;=10000,"VIP","NÃO VIP")</f>
        <v>VIP</v>
      </c>
    </row>
    <row r="70" spans="1:17" ht="15.75" customHeight="1" x14ac:dyDescent="0.25">
      <c r="A70" s="2">
        <v>45726</v>
      </c>
      <c r="B70" s="3">
        <v>6741</v>
      </c>
      <c r="C70" s="4" t="s">
        <v>112</v>
      </c>
      <c r="D70" s="4" t="s">
        <v>27</v>
      </c>
      <c r="E70" s="4" t="s">
        <v>9</v>
      </c>
      <c r="F70" s="4" t="s">
        <v>28</v>
      </c>
      <c r="G70" s="7">
        <v>9</v>
      </c>
      <c r="H70" s="11">
        <v>2897.17</v>
      </c>
      <c r="I70" s="11">
        <f t="shared" si="10"/>
        <v>26074.53</v>
      </c>
      <c r="J70">
        <f t="shared" si="11"/>
        <v>2025</v>
      </c>
      <c r="K70">
        <f t="shared" si="12"/>
        <v>3</v>
      </c>
      <c r="L70">
        <f t="shared" si="13"/>
        <v>10</v>
      </c>
      <c r="M70">
        <f t="shared" si="14"/>
        <v>2</v>
      </c>
      <c r="N70" s="9">
        <f t="shared" si="15"/>
        <v>10429.812</v>
      </c>
      <c r="O70" s="9">
        <f t="shared" si="16"/>
        <v>2607.453</v>
      </c>
      <c r="P70" t="str">
        <f t="shared" si="9"/>
        <v>2025_4</v>
      </c>
      <c r="Q70" t="str">
        <f>IF(Tabela1[[#This Row],[Total da Venda]]&gt;=10000,"VIP","NÃO VIP")</f>
        <v>VIP</v>
      </c>
    </row>
    <row r="71" spans="1:17" ht="15.75" customHeight="1" x14ac:dyDescent="0.25">
      <c r="A71" s="2">
        <v>45646</v>
      </c>
      <c r="B71" s="3">
        <v>5124</v>
      </c>
      <c r="C71" s="4" t="s">
        <v>113</v>
      </c>
      <c r="D71" s="4" t="s">
        <v>8</v>
      </c>
      <c r="E71" s="4" t="s">
        <v>9</v>
      </c>
      <c r="F71" s="4" t="s">
        <v>43</v>
      </c>
      <c r="G71" s="7">
        <v>10</v>
      </c>
      <c r="H71" s="11">
        <v>162.51</v>
      </c>
      <c r="I71" s="11">
        <f t="shared" si="10"/>
        <v>1625.1</v>
      </c>
      <c r="J71">
        <f t="shared" si="11"/>
        <v>2024</v>
      </c>
      <c r="K71">
        <f t="shared" si="12"/>
        <v>12</v>
      </c>
      <c r="L71">
        <f t="shared" si="13"/>
        <v>20</v>
      </c>
      <c r="M71">
        <f t="shared" si="14"/>
        <v>6</v>
      </c>
      <c r="N71" s="9">
        <f t="shared" si="15"/>
        <v>650.04</v>
      </c>
      <c r="O71" s="9">
        <f t="shared" si="16"/>
        <v>162.51</v>
      </c>
      <c r="P71" t="str">
        <f t="shared" si="9"/>
        <v>2025_3</v>
      </c>
      <c r="Q71" t="str">
        <f>IF(Tabela1[[#This Row],[Total da Venda]]&gt;=10000,"VIP","NÃO VIP")</f>
        <v>NÃO VIP</v>
      </c>
    </row>
    <row r="72" spans="1:17" ht="15.75" customHeight="1" x14ac:dyDescent="0.25">
      <c r="A72" s="2">
        <v>45806</v>
      </c>
      <c r="B72" s="3">
        <v>2031</v>
      </c>
      <c r="C72" s="4" t="s">
        <v>114</v>
      </c>
      <c r="D72" s="4" t="s">
        <v>16</v>
      </c>
      <c r="E72" s="4" t="s">
        <v>19</v>
      </c>
      <c r="F72" s="4" t="s">
        <v>20</v>
      </c>
      <c r="G72" s="7">
        <v>9</v>
      </c>
      <c r="H72" s="11">
        <v>2458.54</v>
      </c>
      <c r="I72" s="11">
        <f t="shared" si="10"/>
        <v>22126.86</v>
      </c>
      <c r="J72">
        <f t="shared" si="11"/>
        <v>2025</v>
      </c>
      <c r="K72">
        <f t="shared" si="12"/>
        <v>5</v>
      </c>
      <c r="L72">
        <f t="shared" si="13"/>
        <v>29</v>
      </c>
      <c r="M72">
        <f t="shared" si="14"/>
        <v>5</v>
      </c>
      <c r="N72" s="9">
        <f t="shared" si="15"/>
        <v>8850.7440000000006</v>
      </c>
      <c r="O72" s="9">
        <f t="shared" si="16"/>
        <v>2212.6860000000001</v>
      </c>
      <c r="P72" t="str">
        <f t="shared" si="9"/>
        <v>2024_12</v>
      </c>
      <c r="Q72" t="str">
        <f>IF(Tabela1[[#This Row],[Total da Venda]]&gt;=10000,"VIP","NÃO VIP")</f>
        <v>VIP</v>
      </c>
    </row>
    <row r="73" spans="1:17" ht="15.75" customHeight="1" x14ac:dyDescent="0.25">
      <c r="A73" s="2">
        <v>45645</v>
      </c>
      <c r="B73" s="3">
        <v>4729</v>
      </c>
      <c r="C73" s="4" t="s">
        <v>115</v>
      </c>
      <c r="D73" s="4" t="s">
        <v>8</v>
      </c>
      <c r="E73" s="4" t="s">
        <v>52</v>
      </c>
      <c r="F73" s="4" t="s">
        <v>53</v>
      </c>
      <c r="G73" s="7">
        <v>9</v>
      </c>
      <c r="H73" s="11">
        <v>1811.24</v>
      </c>
      <c r="I73" s="11">
        <f t="shared" si="10"/>
        <v>16301.16</v>
      </c>
      <c r="J73">
        <f t="shared" si="11"/>
        <v>2024</v>
      </c>
      <c r="K73">
        <f t="shared" si="12"/>
        <v>12</v>
      </c>
      <c r="L73">
        <f t="shared" si="13"/>
        <v>19</v>
      </c>
      <c r="M73">
        <f t="shared" si="14"/>
        <v>5</v>
      </c>
      <c r="N73" s="9">
        <f t="shared" si="15"/>
        <v>6520.4639999999999</v>
      </c>
      <c r="O73" s="9">
        <f t="shared" si="16"/>
        <v>1630.116</v>
      </c>
      <c r="P73" t="str">
        <f t="shared" si="9"/>
        <v>2025_5</v>
      </c>
      <c r="Q73" t="str">
        <f>IF(Tabela1[[#This Row],[Total da Venda]]&gt;=10000,"VIP","NÃO VIP")</f>
        <v>VIP</v>
      </c>
    </row>
    <row r="74" spans="1:17" ht="15.75" customHeight="1" x14ac:dyDescent="0.25">
      <c r="A74" s="2">
        <v>45648</v>
      </c>
      <c r="B74" s="3">
        <v>6804</v>
      </c>
      <c r="C74" s="4" t="s">
        <v>116</v>
      </c>
      <c r="D74" s="4" t="s">
        <v>12</v>
      </c>
      <c r="E74" s="4" t="s">
        <v>13</v>
      </c>
      <c r="F74" s="4" t="s">
        <v>30</v>
      </c>
      <c r="G74" s="7">
        <v>1</v>
      </c>
      <c r="H74" s="11">
        <v>207.49</v>
      </c>
      <c r="I74" s="11">
        <f t="shared" si="10"/>
        <v>207.49</v>
      </c>
      <c r="J74">
        <f t="shared" si="11"/>
        <v>2024</v>
      </c>
      <c r="K74">
        <f t="shared" si="12"/>
        <v>12</v>
      </c>
      <c r="L74">
        <f t="shared" si="13"/>
        <v>22</v>
      </c>
      <c r="M74">
        <f t="shared" si="14"/>
        <v>1</v>
      </c>
      <c r="N74" s="9">
        <f t="shared" si="15"/>
        <v>82.996000000000009</v>
      </c>
      <c r="O74" s="9">
        <f t="shared" si="16"/>
        <v>20.749000000000002</v>
      </c>
      <c r="P74" t="str">
        <f t="shared" si="9"/>
        <v>2024_12</v>
      </c>
      <c r="Q74" t="str">
        <f>IF(Tabela1[[#This Row],[Total da Venda]]&gt;=10000,"VIP","NÃO VIP")</f>
        <v>NÃO VIP</v>
      </c>
    </row>
    <row r="75" spans="1:17" ht="15.75" customHeight="1" x14ac:dyDescent="0.25">
      <c r="A75" s="2">
        <v>45728</v>
      </c>
      <c r="B75" s="3">
        <v>4011</v>
      </c>
      <c r="C75" s="4" t="s">
        <v>117</v>
      </c>
      <c r="D75" s="4" t="s">
        <v>12</v>
      </c>
      <c r="E75" s="4" t="s">
        <v>19</v>
      </c>
      <c r="F75" s="4" t="s">
        <v>23</v>
      </c>
      <c r="G75" s="7">
        <v>2</v>
      </c>
      <c r="H75" s="11">
        <v>801.95</v>
      </c>
      <c r="I75" s="11">
        <f t="shared" si="10"/>
        <v>1603.9</v>
      </c>
      <c r="J75">
        <f t="shared" si="11"/>
        <v>2025</v>
      </c>
      <c r="K75">
        <f t="shared" si="12"/>
        <v>3</v>
      </c>
      <c r="L75">
        <f t="shared" si="13"/>
        <v>12</v>
      </c>
      <c r="M75">
        <f t="shared" si="14"/>
        <v>4</v>
      </c>
      <c r="N75" s="9">
        <f t="shared" si="15"/>
        <v>641.56000000000006</v>
      </c>
      <c r="O75" s="9">
        <f t="shared" si="16"/>
        <v>160.39000000000001</v>
      </c>
      <c r="P75" t="str">
        <f t="shared" si="9"/>
        <v>2024_12</v>
      </c>
      <c r="Q75" t="str">
        <f>IF(Tabela1[[#This Row],[Total da Venda]]&gt;=10000,"VIP","NÃO VIP")</f>
        <v>NÃO VIP</v>
      </c>
    </row>
    <row r="76" spans="1:17" ht="15.75" customHeight="1" x14ac:dyDescent="0.25">
      <c r="A76" s="2">
        <v>45719</v>
      </c>
      <c r="B76" s="3">
        <v>8053</v>
      </c>
      <c r="C76" s="4" t="s">
        <v>118</v>
      </c>
      <c r="D76" s="4" t="s">
        <v>27</v>
      </c>
      <c r="E76" s="4" t="s">
        <v>40</v>
      </c>
      <c r="F76" s="4" t="s">
        <v>61</v>
      </c>
      <c r="G76" s="7">
        <v>2</v>
      </c>
      <c r="H76" s="11">
        <v>890.08</v>
      </c>
      <c r="I76" s="11">
        <f t="shared" si="10"/>
        <v>1780.16</v>
      </c>
      <c r="J76">
        <f t="shared" si="11"/>
        <v>2025</v>
      </c>
      <c r="K76">
        <f t="shared" si="12"/>
        <v>3</v>
      </c>
      <c r="L76">
        <f t="shared" si="13"/>
        <v>3</v>
      </c>
      <c r="M76">
        <f t="shared" si="14"/>
        <v>2</v>
      </c>
      <c r="N76" s="9">
        <f t="shared" si="15"/>
        <v>712.06400000000008</v>
      </c>
      <c r="O76" s="9">
        <f t="shared" si="16"/>
        <v>178.01600000000002</v>
      </c>
      <c r="P76" t="str">
        <f t="shared" si="9"/>
        <v>2025_3</v>
      </c>
      <c r="Q76" t="str">
        <f>IF(Tabela1[[#This Row],[Total da Venda]]&gt;=10000,"VIP","NÃO VIP")</f>
        <v>NÃO VIP</v>
      </c>
    </row>
    <row r="77" spans="1:17" ht="15.75" customHeight="1" x14ac:dyDescent="0.25">
      <c r="A77" s="2">
        <v>45643</v>
      </c>
      <c r="B77" s="3">
        <v>6284</v>
      </c>
      <c r="C77" s="4" t="s">
        <v>119</v>
      </c>
      <c r="D77" s="4" t="s">
        <v>8</v>
      </c>
      <c r="E77" s="4" t="s">
        <v>9</v>
      </c>
      <c r="F77" s="4" t="s">
        <v>102</v>
      </c>
      <c r="G77" s="7">
        <v>10</v>
      </c>
      <c r="H77" s="11">
        <v>34.15</v>
      </c>
      <c r="I77" s="11">
        <f t="shared" si="10"/>
        <v>341.5</v>
      </c>
      <c r="J77">
        <f t="shared" si="11"/>
        <v>2024</v>
      </c>
      <c r="K77">
        <f t="shared" si="12"/>
        <v>12</v>
      </c>
      <c r="L77">
        <f t="shared" si="13"/>
        <v>17</v>
      </c>
      <c r="M77">
        <f t="shared" si="14"/>
        <v>3</v>
      </c>
      <c r="N77" s="9">
        <f t="shared" si="15"/>
        <v>136.6</v>
      </c>
      <c r="O77" s="9">
        <f t="shared" si="16"/>
        <v>34.15</v>
      </c>
      <c r="P77" t="str">
        <f t="shared" si="9"/>
        <v>2025_3</v>
      </c>
      <c r="Q77" t="str">
        <f>IF(Tabela1[[#This Row],[Total da Venda]]&gt;=10000,"VIP","NÃO VIP")</f>
        <v>NÃO VIP</v>
      </c>
    </row>
    <row r="78" spans="1:17" ht="15.75" customHeight="1" x14ac:dyDescent="0.25">
      <c r="A78" s="2">
        <v>45707</v>
      </c>
      <c r="B78" s="3">
        <v>9988</v>
      </c>
      <c r="C78" s="4" t="s">
        <v>120</v>
      </c>
      <c r="D78" s="4" t="s">
        <v>8</v>
      </c>
      <c r="E78" s="4" t="s">
        <v>19</v>
      </c>
      <c r="F78" s="4" t="s">
        <v>23</v>
      </c>
      <c r="G78" s="7">
        <v>1</v>
      </c>
      <c r="H78" s="11">
        <v>505.04</v>
      </c>
      <c r="I78" s="11">
        <f t="shared" si="10"/>
        <v>505.04</v>
      </c>
      <c r="J78">
        <f t="shared" si="11"/>
        <v>2025</v>
      </c>
      <c r="K78">
        <f t="shared" si="12"/>
        <v>2</v>
      </c>
      <c r="L78">
        <f t="shared" si="13"/>
        <v>19</v>
      </c>
      <c r="M78">
        <f t="shared" si="14"/>
        <v>4</v>
      </c>
      <c r="N78" s="9">
        <f t="shared" si="15"/>
        <v>202.01600000000002</v>
      </c>
      <c r="O78" s="9">
        <f t="shared" si="16"/>
        <v>50.504000000000005</v>
      </c>
      <c r="P78" t="str">
        <f t="shared" si="9"/>
        <v>2024_12</v>
      </c>
      <c r="Q78" t="str">
        <f>IF(Tabela1[[#This Row],[Total da Venda]]&gt;=10000,"VIP","NÃO VIP")</f>
        <v>NÃO VIP</v>
      </c>
    </row>
    <row r="79" spans="1:17" ht="15.75" customHeight="1" x14ac:dyDescent="0.25">
      <c r="A79" s="2">
        <v>45641</v>
      </c>
      <c r="B79" s="3">
        <v>7336</v>
      </c>
      <c r="C79" s="4" t="s">
        <v>121</v>
      </c>
      <c r="D79" s="4" t="s">
        <v>63</v>
      </c>
      <c r="E79" s="4" t="s">
        <v>40</v>
      </c>
      <c r="F79" s="4" t="s">
        <v>61</v>
      </c>
      <c r="G79" s="7">
        <v>3</v>
      </c>
      <c r="H79" s="11">
        <v>2208.48</v>
      </c>
      <c r="I79" s="11">
        <f t="shared" si="10"/>
        <v>6625.4400000000005</v>
      </c>
      <c r="J79">
        <f t="shared" si="11"/>
        <v>2024</v>
      </c>
      <c r="K79">
        <f t="shared" si="12"/>
        <v>12</v>
      </c>
      <c r="L79">
        <f t="shared" si="13"/>
        <v>15</v>
      </c>
      <c r="M79">
        <f t="shared" si="14"/>
        <v>1</v>
      </c>
      <c r="N79" s="9">
        <f t="shared" si="15"/>
        <v>2650.1760000000004</v>
      </c>
      <c r="O79" s="9">
        <f t="shared" si="16"/>
        <v>662.5440000000001</v>
      </c>
      <c r="P79" t="str">
        <f t="shared" si="9"/>
        <v>2025_2</v>
      </c>
      <c r="Q79" t="str">
        <f>IF(Tabela1[[#This Row],[Total da Venda]]&gt;=10000,"VIP","NÃO VIP")</f>
        <v>NÃO VIP</v>
      </c>
    </row>
    <row r="80" spans="1:17" ht="15.75" customHeight="1" x14ac:dyDescent="0.25">
      <c r="A80" s="2">
        <v>45806</v>
      </c>
      <c r="B80" s="3">
        <v>1956</v>
      </c>
      <c r="C80" s="4" t="s">
        <v>122</v>
      </c>
      <c r="D80" s="4" t="s">
        <v>12</v>
      </c>
      <c r="E80" s="4" t="s">
        <v>13</v>
      </c>
      <c r="F80" s="4" t="s">
        <v>17</v>
      </c>
      <c r="G80" s="7">
        <v>9</v>
      </c>
      <c r="H80" s="11">
        <v>2371.9899999999998</v>
      </c>
      <c r="I80" s="11">
        <f t="shared" si="10"/>
        <v>21347.909999999996</v>
      </c>
      <c r="J80">
        <f t="shared" si="11"/>
        <v>2025</v>
      </c>
      <c r="K80">
        <f t="shared" si="12"/>
        <v>5</v>
      </c>
      <c r="L80">
        <f t="shared" si="13"/>
        <v>29</v>
      </c>
      <c r="M80">
        <f t="shared" si="14"/>
        <v>5</v>
      </c>
      <c r="N80" s="9">
        <f t="shared" si="15"/>
        <v>8539.1639999999989</v>
      </c>
      <c r="O80" s="9">
        <f t="shared" si="16"/>
        <v>2134.7909999999997</v>
      </c>
      <c r="P80" t="str">
        <f t="shared" si="9"/>
        <v>2024_12</v>
      </c>
      <c r="Q80" t="str">
        <f>IF(Tabela1[[#This Row],[Total da Venda]]&gt;=10000,"VIP","NÃO VIP")</f>
        <v>VIP</v>
      </c>
    </row>
    <row r="81" spans="1:17" ht="15.75" customHeight="1" x14ac:dyDescent="0.25">
      <c r="A81" s="2">
        <v>45806</v>
      </c>
      <c r="B81" s="3">
        <v>3703</v>
      </c>
      <c r="C81" s="4" t="s">
        <v>123</v>
      </c>
      <c r="D81" s="4" t="s">
        <v>8</v>
      </c>
      <c r="E81" s="4" t="s">
        <v>9</v>
      </c>
      <c r="F81" s="4" t="s">
        <v>10</v>
      </c>
      <c r="G81" s="7">
        <v>7</v>
      </c>
      <c r="H81" s="11">
        <v>384.78</v>
      </c>
      <c r="I81" s="11">
        <f t="shared" si="10"/>
        <v>2693.46</v>
      </c>
      <c r="J81">
        <f t="shared" si="11"/>
        <v>2025</v>
      </c>
      <c r="K81">
        <f t="shared" si="12"/>
        <v>5</v>
      </c>
      <c r="L81">
        <f t="shared" si="13"/>
        <v>29</v>
      </c>
      <c r="M81">
        <f t="shared" si="14"/>
        <v>5</v>
      </c>
      <c r="N81" s="9">
        <f t="shared" si="15"/>
        <v>1077.384</v>
      </c>
      <c r="O81" s="9">
        <f t="shared" si="16"/>
        <v>269.346</v>
      </c>
      <c r="P81" t="str">
        <f t="shared" si="9"/>
        <v>2025_5</v>
      </c>
      <c r="Q81" t="str">
        <f>IF(Tabela1[[#This Row],[Total da Venda]]&gt;=10000,"VIP","NÃO VIP")</f>
        <v>NÃO VIP</v>
      </c>
    </row>
    <row r="82" spans="1:17" ht="15.75" customHeight="1" x14ac:dyDescent="0.25">
      <c r="A82" s="2">
        <v>45670</v>
      </c>
      <c r="B82" s="3">
        <v>2482</v>
      </c>
      <c r="C82" s="4" t="s">
        <v>124</v>
      </c>
      <c r="D82" s="4" t="s">
        <v>37</v>
      </c>
      <c r="E82" s="4" t="s">
        <v>52</v>
      </c>
      <c r="F82" s="4" t="s">
        <v>53</v>
      </c>
      <c r="G82" s="7">
        <v>2</v>
      </c>
      <c r="H82" s="11">
        <v>999.76</v>
      </c>
      <c r="I82" s="11">
        <f t="shared" si="10"/>
        <v>1999.52</v>
      </c>
      <c r="J82">
        <f t="shared" si="11"/>
        <v>2025</v>
      </c>
      <c r="K82">
        <f t="shared" si="12"/>
        <v>1</v>
      </c>
      <c r="L82">
        <f t="shared" si="13"/>
        <v>13</v>
      </c>
      <c r="M82">
        <f t="shared" si="14"/>
        <v>2</v>
      </c>
      <c r="N82" s="9">
        <f t="shared" si="15"/>
        <v>799.80799999999999</v>
      </c>
      <c r="O82" s="9">
        <f t="shared" si="16"/>
        <v>199.952</v>
      </c>
      <c r="P82" t="str">
        <f t="shared" si="9"/>
        <v>2025_5</v>
      </c>
      <c r="Q82" t="str">
        <f>IF(Tabela1[[#This Row],[Total da Venda]]&gt;=10000,"VIP","NÃO VIP")</f>
        <v>NÃO VIP</v>
      </c>
    </row>
    <row r="83" spans="1:17" ht="15.75" customHeight="1" x14ac:dyDescent="0.25">
      <c r="A83" s="2">
        <v>45758</v>
      </c>
      <c r="B83" s="3">
        <v>1070</v>
      </c>
      <c r="C83" s="4" t="s">
        <v>125</v>
      </c>
      <c r="D83" s="4" t="s">
        <v>12</v>
      </c>
      <c r="E83" s="4" t="s">
        <v>9</v>
      </c>
      <c r="F83" s="4" t="s">
        <v>28</v>
      </c>
      <c r="G83" s="7">
        <v>7</v>
      </c>
      <c r="H83" s="11">
        <v>2220.94</v>
      </c>
      <c r="I83" s="11">
        <f t="shared" si="10"/>
        <v>15546.58</v>
      </c>
      <c r="J83">
        <f t="shared" si="11"/>
        <v>2025</v>
      </c>
      <c r="K83">
        <f t="shared" si="12"/>
        <v>4</v>
      </c>
      <c r="L83">
        <f t="shared" si="13"/>
        <v>11</v>
      </c>
      <c r="M83">
        <f t="shared" si="14"/>
        <v>6</v>
      </c>
      <c r="N83" s="9">
        <f t="shared" si="15"/>
        <v>6218.6320000000005</v>
      </c>
      <c r="O83" s="9">
        <f t="shared" si="16"/>
        <v>1554.6580000000001</v>
      </c>
      <c r="P83" t="str">
        <f t="shared" si="9"/>
        <v>2025_1</v>
      </c>
      <c r="Q83" t="str">
        <f>IF(Tabela1[[#This Row],[Total da Venda]]&gt;=10000,"VIP","NÃO VIP")</f>
        <v>VIP</v>
      </c>
    </row>
    <row r="84" spans="1:17" ht="15.75" customHeight="1" x14ac:dyDescent="0.25">
      <c r="A84" s="2">
        <v>45787</v>
      </c>
      <c r="B84" s="3">
        <v>7166</v>
      </c>
      <c r="C84" s="4" t="s">
        <v>126</v>
      </c>
      <c r="D84" s="4" t="s">
        <v>12</v>
      </c>
      <c r="E84" s="4" t="s">
        <v>19</v>
      </c>
      <c r="F84" s="4" t="s">
        <v>20</v>
      </c>
      <c r="G84" s="7">
        <v>10</v>
      </c>
      <c r="H84" s="11">
        <v>1462.31</v>
      </c>
      <c r="I84" s="11">
        <f t="shared" si="10"/>
        <v>14623.099999999999</v>
      </c>
      <c r="J84">
        <f t="shared" si="11"/>
        <v>2025</v>
      </c>
      <c r="K84">
        <f t="shared" si="12"/>
        <v>5</v>
      </c>
      <c r="L84">
        <f t="shared" si="13"/>
        <v>10</v>
      </c>
      <c r="M84">
        <f t="shared" si="14"/>
        <v>7</v>
      </c>
      <c r="N84" s="9">
        <f t="shared" si="15"/>
        <v>5849.24</v>
      </c>
      <c r="O84" s="9">
        <f t="shared" si="16"/>
        <v>1462.31</v>
      </c>
      <c r="P84" t="str">
        <f t="shared" si="9"/>
        <v>2025_4</v>
      </c>
      <c r="Q84" t="str">
        <f>IF(Tabela1[[#This Row],[Total da Venda]]&gt;=10000,"VIP","NÃO VIP")</f>
        <v>VIP</v>
      </c>
    </row>
    <row r="85" spans="1:17" ht="15.75" customHeight="1" x14ac:dyDescent="0.25">
      <c r="A85" s="2">
        <v>45809</v>
      </c>
      <c r="B85" s="3">
        <v>4924</v>
      </c>
      <c r="C85" s="4" t="s">
        <v>127</v>
      </c>
      <c r="D85" s="4" t="s">
        <v>8</v>
      </c>
      <c r="E85" s="4" t="s">
        <v>52</v>
      </c>
      <c r="F85" s="4" t="s">
        <v>53</v>
      </c>
      <c r="G85" s="7">
        <v>4</v>
      </c>
      <c r="H85" s="11">
        <v>2664.66</v>
      </c>
      <c r="I85" s="11">
        <f t="shared" si="10"/>
        <v>10658.64</v>
      </c>
      <c r="J85">
        <f t="shared" si="11"/>
        <v>2025</v>
      </c>
      <c r="K85">
        <f t="shared" si="12"/>
        <v>6</v>
      </c>
      <c r="L85">
        <f t="shared" si="13"/>
        <v>1</v>
      </c>
      <c r="M85">
        <f t="shared" si="14"/>
        <v>1</v>
      </c>
      <c r="N85" s="9">
        <f t="shared" si="15"/>
        <v>4263.4560000000001</v>
      </c>
      <c r="O85" s="9">
        <f t="shared" si="16"/>
        <v>1065.864</v>
      </c>
      <c r="P85" t="str">
        <f t="shared" si="9"/>
        <v>2025_5</v>
      </c>
      <c r="Q85" t="str">
        <f>IF(Tabela1[[#This Row],[Total da Venda]]&gt;=10000,"VIP","NÃO VIP")</f>
        <v>VIP</v>
      </c>
    </row>
    <row r="86" spans="1:17" ht="15.75" customHeight="1" x14ac:dyDescent="0.25">
      <c r="A86" s="2">
        <v>45786</v>
      </c>
      <c r="B86" s="3">
        <v>3280</v>
      </c>
      <c r="C86" s="4" t="s">
        <v>128</v>
      </c>
      <c r="D86" s="4" t="s">
        <v>8</v>
      </c>
      <c r="E86" s="4" t="s">
        <v>40</v>
      </c>
      <c r="F86" s="4" t="s">
        <v>85</v>
      </c>
      <c r="G86" s="7">
        <v>10</v>
      </c>
      <c r="H86" s="11">
        <v>2368.75</v>
      </c>
      <c r="I86" s="11">
        <f t="shared" si="10"/>
        <v>23687.5</v>
      </c>
      <c r="J86">
        <f t="shared" si="11"/>
        <v>2025</v>
      </c>
      <c r="K86">
        <f t="shared" si="12"/>
        <v>5</v>
      </c>
      <c r="L86">
        <f t="shared" si="13"/>
        <v>9</v>
      </c>
      <c r="M86">
        <f t="shared" si="14"/>
        <v>6</v>
      </c>
      <c r="N86" s="9">
        <f t="shared" si="15"/>
        <v>9475</v>
      </c>
      <c r="O86" s="9">
        <f t="shared" si="16"/>
        <v>2368.75</v>
      </c>
      <c r="P86" t="str">
        <f t="shared" si="9"/>
        <v>2025_6</v>
      </c>
      <c r="Q86" t="str">
        <f>IF(Tabela1[[#This Row],[Total da Venda]]&gt;=10000,"VIP","NÃO VIP")</f>
        <v>VIP</v>
      </c>
    </row>
    <row r="87" spans="1:17" ht="15.75" customHeight="1" x14ac:dyDescent="0.25">
      <c r="A87" s="2">
        <v>45737</v>
      </c>
      <c r="B87" s="3">
        <v>6397</v>
      </c>
      <c r="C87" s="4" t="s">
        <v>129</v>
      </c>
      <c r="D87" s="4" t="s">
        <v>8</v>
      </c>
      <c r="E87" s="4" t="s">
        <v>13</v>
      </c>
      <c r="F87" s="4" t="s">
        <v>64</v>
      </c>
      <c r="G87" s="7">
        <v>10</v>
      </c>
      <c r="H87" s="11">
        <v>2557.5</v>
      </c>
      <c r="I87" s="11">
        <f t="shared" si="10"/>
        <v>25575</v>
      </c>
      <c r="J87">
        <f t="shared" si="11"/>
        <v>2025</v>
      </c>
      <c r="K87">
        <f t="shared" si="12"/>
        <v>3</v>
      </c>
      <c r="L87">
        <f t="shared" si="13"/>
        <v>21</v>
      </c>
      <c r="M87">
        <f t="shared" si="14"/>
        <v>6</v>
      </c>
      <c r="N87" s="9">
        <f t="shared" si="15"/>
        <v>10230</v>
      </c>
      <c r="O87" s="9">
        <f t="shared" si="16"/>
        <v>2557.5</v>
      </c>
      <c r="P87" t="str">
        <f t="shared" si="9"/>
        <v>2025_5</v>
      </c>
      <c r="Q87" t="str">
        <f>IF(Tabela1[[#This Row],[Total da Venda]]&gt;=10000,"VIP","NÃO VIP")</f>
        <v>VIP</v>
      </c>
    </row>
    <row r="88" spans="1:17" ht="15.75" customHeight="1" x14ac:dyDescent="0.25">
      <c r="A88" s="2">
        <v>45774</v>
      </c>
      <c r="B88" s="3">
        <v>5032</v>
      </c>
      <c r="C88" s="4" t="s">
        <v>130</v>
      </c>
      <c r="D88" s="4" t="s">
        <v>63</v>
      </c>
      <c r="E88" s="4" t="s">
        <v>13</v>
      </c>
      <c r="F88" s="4" t="s">
        <v>17</v>
      </c>
      <c r="G88" s="7">
        <v>4</v>
      </c>
      <c r="H88" s="11">
        <v>56.89</v>
      </c>
      <c r="I88" s="11">
        <f t="shared" si="10"/>
        <v>227.56</v>
      </c>
      <c r="J88">
        <f t="shared" si="11"/>
        <v>2025</v>
      </c>
      <c r="K88">
        <f t="shared" si="12"/>
        <v>4</v>
      </c>
      <c r="L88">
        <f t="shared" si="13"/>
        <v>27</v>
      </c>
      <c r="M88">
        <f t="shared" si="14"/>
        <v>1</v>
      </c>
      <c r="N88" s="9">
        <f t="shared" si="15"/>
        <v>91.024000000000001</v>
      </c>
      <c r="O88" s="9">
        <f t="shared" si="16"/>
        <v>22.756</v>
      </c>
      <c r="P88" t="str">
        <f t="shared" si="9"/>
        <v>2025_3</v>
      </c>
      <c r="Q88" t="str">
        <f>IF(Tabela1[[#This Row],[Total da Venda]]&gt;=10000,"VIP","NÃO VIP")</f>
        <v>NÃO VIP</v>
      </c>
    </row>
    <row r="89" spans="1:17" ht="15.75" customHeight="1" x14ac:dyDescent="0.25">
      <c r="A89" s="2">
        <v>45731</v>
      </c>
      <c r="B89" s="3">
        <v>4658</v>
      </c>
      <c r="C89" s="4" t="s">
        <v>131</v>
      </c>
      <c r="D89" s="4" t="s">
        <v>37</v>
      </c>
      <c r="E89" s="4" t="s">
        <v>52</v>
      </c>
      <c r="F89" s="4" t="s">
        <v>72</v>
      </c>
      <c r="G89" s="7">
        <v>7</v>
      </c>
      <c r="H89" s="11">
        <v>1692.65</v>
      </c>
      <c r="I89" s="11">
        <f t="shared" si="10"/>
        <v>11848.550000000001</v>
      </c>
      <c r="J89">
        <f t="shared" si="11"/>
        <v>2025</v>
      </c>
      <c r="K89">
        <f t="shared" si="12"/>
        <v>3</v>
      </c>
      <c r="L89">
        <f t="shared" si="13"/>
        <v>15</v>
      </c>
      <c r="M89">
        <f t="shared" si="14"/>
        <v>7</v>
      </c>
      <c r="N89" s="9">
        <f t="shared" si="15"/>
        <v>4739.420000000001</v>
      </c>
      <c r="O89" s="9">
        <f t="shared" si="16"/>
        <v>1184.8550000000002</v>
      </c>
      <c r="P89" t="str">
        <f t="shared" si="9"/>
        <v>2025_4</v>
      </c>
      <c r="Q89" t="str">
        <f>IF(Tabela1[[#This Row],[Total da Venda]]&gt;=10000,"VIP","NÃO VIP")</f>
        <v>VIP</v>
      </c>
    </row>
    <row r="90" spans="1:17" ht="15.75" customHeight="1" x14ac:dyDescent="0.25">
      <c r="A90" s="2">
        <v>45807</v>
      </c>
      <c r="B90" s="3">
        <v>7919</v>
      </c>
      <c r="C90" s="4" t="s">
        <v>132</v>
      </c>
      <c r="D90" s="4" t="s">
        <v>37</v>
      </c>
      <c r="E90" s="4" t="s">
        <v>52</v>
      </c>
      <c r="F90" s="4" t="s">
        <v>97</v>
      </c>
      <c r="G90" s="7">
        <v>5</v>
      </c>
      <c r="H90" s="11">
        <v>1264.31</v>
      </c>
      <c r="I90" s="11">
        <f t="shared" si="10"/>
        <v>6321.5499999999993</v>
      </c>
      <c r="J90">
        <f t="shared" si="11"/>
        <v>2025</v>
      </c>
      <c r="K90">
        <f t="shared" si="12"/>
        <v>5</v>
      </c>
      <c r="L90">
        <f t="shared" si="13"/>
        <v>30</v>
      </c>
      <c r="M90">
        <f t="shared" si="14"/>
        <v>6</v>
      </c>
      <c r="N90" s="9">
        <f t="shared" si="15"/>
        <v>2528.62</v>
      </c>
      <c r="O90" s="9">
        <f t="shared" si="16"/>
        <v>632.15499999999997</v>
      </c>
      <c r="P90" t="str">
        <f t="shared" si="9"/>
        <v>2025_3</v>
      </c>
      <c r="Q90" t="str">
        <f>IF(Tabela1[[#This Row],[Total da Venda]]&gt;=10000,"VIP","NÃO VIP")</f>
        <v>NÃO VIP</v>
      </c>
    </row>
    <row r="91" spans="1:17" ht="15.75" customHeight="1" x14ac:dyDescent="0.25">
      <c r="A91" s="2">
        <v>45781</v>
      </c>
      <c r="B91" s="3">
        <v>2848</v>
      </c>
      <c r="C91" s="4" t="s">
        <v>133</v>
      </c>
      <c r="D91" s="4" t="s">
        <v>37</v>
      </c>
      <c r="E91" s="4" t="s">
        <v>19</v>
      </c>
      <c r="F91" s="4" t="s">
        <v>47</v>
      </c>
      <c r="G91" s="7">
        <v>3</v>
      </c>
      <c r="H91" s="11">
        <v>1450.82</v>
      </c>
      <c r="I91" s="11">
        <f t="shared" si="10"/>
        <v>4352.46</v>
      </c>
      <c r="J91">
        <f t="shared" si="11"/>
        <v>2025</v>
      </c>
      <c r="K91">
        <f t="shared" si="12"/>
        <v>5</v>
      </c>
      <c r="L91">
        <f t="shared" si="13"/>
        <v>4</v>
      </c>
      <c r="M91">
        <f t="shared" si="14"/>
        <v>1</v>
      </c>
      <c r="N91" s="9">
        <f t="shared" si="15"/>
        <v>1740.9840000000002</v>
      </c>
      <c r="O91" s="9">
        <f t="shared" si="16"/>
        <v>435.24600000000004</v>
      </c>
      <c r="P91" t="str">
        <f t="shared" si="9"/>
        <v>2025_5</v>
      </c>
      <c r="Q91" t="str">
        <f>IF(Tabela1[[#This Row],[Total da Venda]]&gt;=10000,"VIP","NÃO VIP")</f>
        <v>NÃO VIP</v>
      </c>
    </row>
    <row r="92" spans="1:17" ht="15.75" customHeight="1" x14ac:dyDescent="0.25">
      <c r="A92" s="2">
        <v>45669</v>
      </c>
      <c r="B92" s="3">
        <v>4728</v>
      </c>
      <c r="C92" s="4" t="s">
        <v>134</v>
      </c>
      <c r="D92" s="4" t="s">
        <v>8</v>
      </c>
      <c r="E92" s="4" t="s">
        <v>52</v>
      </c>
      <c r="F92" s="4" t="s">
        <v>53</v>
      </c>
      <c r="G92" s="7">
        <v>5</v>
      </c>
      <c r="H92" s="11">
        <v>1835.12</v>
      </c>
      <c r="I92" s="11">
        <f t="shared" si="10"/>
        <v>9175.5999999999985</v>
      </c>
      <c r="J92">
        <f t="shared" si="11"/>
        <v>2025</v>
      </c>
      <c r="K92">
        <f t="shared" si="12"/>
        <v>1</v>
      </c>
      <c r="L92">
        <f t="shared" si="13"/>
        <v>12</v>
      </c>
      <c r="M92">
        <f t="shared" si="14"/>
        <v>1</v>
      </c>
      <c r="N92" s="9">
        <f t="shared" si="15"/>
        <v>3670.24</v>
      </c>
      <c r="O92" s="9">
        <f t="shared" si="16"/>
        <v>917.56</v>
      </c>
      <c r="P92" t="str">
        <f t="shared" si="9"/>
        <v>2025_5</v>
      </c>
      <c r="Q92" t="str">
        <f>IF(Tabela1[[#This Row],[Total da Venda]]&gt;=10000,"VIP","NÃO VIP")</f>
        <v>NÃO VIP</v>
      </c>
    </row>
    <row r="93" spans="1:17" ht="15.75" customHeight="1" x14ac:dyDescent="0.25">
      <c r="A93" s="2">
        <v>45746</v>
      </c>
      <c r="B93" s="3">
        <v>4288</v>
      </c>
      <c r="C93" s="4" t="s">
        <v>135</v>
      </c>
      <c r="D93" s="4" t="s">
        <v>8</v>
      </c>
      <c r="E93" s="4" t="s">
        <v>19</v>
      </c>
      <c r="F93" s="4" t="s">
        <v>20</v>
      </c>
      <c r="G93" s="7">
        <v>4</v>
      </c>
      <c r="H93" s="11">
        <v>418.23</v>
      </c>
      <c r="I93" s="11">
        <f t="shared" si="10"/>
        <v>1672.92</v>
      </c>
      <c r="J93">
        <f t="shared" si="11"/>
        <v>2025</v>
      </c>
      <c r="K93">
        <f t="shared" si="12"/>
        <v>3</v>
      </c>
      <c r="L93">
        <f t="shared" si="13"/>
        <v>30</v>
      </c>
      <c r="M93">
        <f t="shared" si="14"/>
        <v>1</v>
      </c>
      <c r="N93" s="9">
        <f t="shared" si="15"/>
        <v>669.16800000000012</v>
      </c>
      <c r="O93" s="9">
        <f t="shared" si="16"/>
        <v>167.29200000000003</v>
      </c>
      <c r="P93" t="str">
        <f t="shared" si="9"/>
        <v>2025_1</v>
      </c>
      <c r="Q93" t="str">
        <f>IF(Tabela1[[#This Row],[Total da Venda]]&gt;=10000,"VIP","NÃO VIP")</f>
        <v>NÃO VIP</v>
      </c>
    </row>
    <row r="94" spans="1:17" ht="15.75" customHeight="1" x14ac:dyDescent="0.25">
      <c r="A94" s="2">
        <v>45804</v>
      </c>
      <c r="B94" s="3">
        <v>8035</v>
      </c>
      <c r="C94" s="4" t="s">
        <v>136</v>
      </c>
      <c r="D94" s="4" t="s">
        <v>63</v>
      </c>
      <c r="E94" s="4" t="s">
        <v>9</v>
      </c>
      <c r="F94" s="4" t="s">
        <v>102</v>
      </c>
      <c r="G94" s="7">
        <v>2</v>
      </c>
      <c r="H94" s="11">
        <v>40.590000000000003</v>
      </c>
      <c r="I94" s="11">
        <f t="shared" si="10"/>
        <v>81.180000000000007</v>
      </c>
      <c r="J94">
        <f t="shared" si="11"/>
        <v>2025</v>
      </c>
      <c r="K94">
        <f t="shared" si="12"/>
        <v>5</v>
      </c>
      <c r="L94">
        <f t="shared" si="13"/>
        <v>27</v>
      </c>
      <c r="M94">
        <f t="shared" si="14"/>
        <v>3</v>
      </c>
      <c r="N94" s="9">
        <f t="shared" si="15"/>
        <v>32.472000000000001</v>
      </c>
      <c r="O94" s="9">
        <f t="shared" si="16"/>
        <v>8.1180000000000003</v>
      </c>
      <c r="P94" t="str">
        <f t="shared" si="9"/>
        <v>2025_3</v>
      </c>
      <c r="Q94" t="str">
        <f>IF(Tabela1[[#This Row],[Total da Venda]]&gt;=10000,"VIP","NÃO VIP")</f>
        <v>NÃO VIP</v>
      </c>
    </row>
    <row r="95" spans="1:17" ht="15.75" customHeight="1" x14ac:dyDescent="0.25">
      <c r="A95" s="2">
        <v>45815</v>
      </c>
      <c r="B95" s="3">
        <v>9915</v>
      </c>
      <c r="C95" s="4" t="s">
        <v>137</v>
      </c>
      <c r="D95" s="4" t="s">
        <v>12</v>
      </c>
      <c r="E95" s="4" t="s">
        <v>52</v>
      </c>
      <c r="F95" s="4" t="s">
        <v>66</v>
      </c>
      <c r="G95" s="7">
        <v>2</v>
      </c>
      <c r="H95" s="11">
        <v>370.94</v>
      </c>
      <c r="I95" s="11">
        <f t="shared" si="10"/>
        <v>741.88</v>
      </c>
      <c r="J95">
        <f t="shared" si="11"/>
        <v>2025</v>
      </c>
      <c r="K95">
        <f t="shared" si="12"/>
        <v>6</v>
      </c>
      <c r="L95">
        <f t="shared" si="13"/>
        <v>7</v>
      </c>
      <c r="M95">
        <f t="shared" si="14"/>
        <v>7</v>
      </c>
      <c r="N95" s="9">
        <f t="shared" si="15"/>
        <v>296.75200000000001</v>
      </c>
      <c r="O95" s="9">
        <f t="shared" si="16"/>
        <v>74.188000000000002</v>
      </c>
      <c r="P95" t="str">
        <f t="shared" si="9"/>
        <v>2025_5</v>
      </c>
      <c r="Q95" t="str">
        <f>IF(Tabela1[[#This Row],[Total da Venda]]&gt;=10000,"VIP","NÃO VIP")</f>
        <v>NÃO VIP</v>
      </c>
    </row>
    <row r="96" spans="1:17" ht="15.75" customHeight="1" x14ac:dyDescent="0.25">
      <c r="A96" s="2">
        <v>45805</v>
      </c>
      <c r="B96" s="3">
        <v>2378</v>
      </c>
      <c r="C96" s="4" t="s">
        <v>138</v>
      </c>
      <c r="D96" s="4" t="s">
        <v>37</v>
      </c>
      <c r="E96" s="4" t="s">
        <v>9</v>
      </c>
      <c r="F96" s="4" t="s">
        <v>25</v>
      </c>
      <c r="G96" s="7">
        <v>6</v>
      </c>
      <c r="H96" s="11">
        <v>126.5</v>
      </c>
      <c r="I96" s="11">
        <f t="shared" si="10"/>
        <v>759</v>
      </c>
      <c r="J96">
        <f t="shared" si="11"/>
        <v>2025</v>
      </c>
      <c r="K96">
        <f t="shared" si="12"/>
        <v>5</v>
      </c>
      <c r="L96">
        <f t="shared" si="13"/>
        <v>28</v>
      </c>
      <c r="M96">
        <f t="shared" si="14"/>
        <v>4</v>
      </c>
      <c r="N96" s="9">
        <f t="shared" si="15"/>
        <v>303.60000000000002</v>
      </c>
      <c r="O96" s="9">
        <f t="shared" si="16"/>
        <v>75.900000000000006</v>
      </c>
      <c r="P96" t="str">
        <f t="shared" si="9"/>
        <v>2025_6</v>
      </c>
      <c r="Q96" t="str">
        <f>IF(Tabela1[[#This Row],[Total da Venda]]&gt;=10000,"VIP","NÃO VIP")</f>
        <v>NÃO VIP</v>
      </c>
    </row>
    <row r="97" spans="1:17" ht="15.75" customHeight="1" x14ac:dyDescent="0.25">
      <c r="A97" s="2">
        <v>45804</v>
      </c>
      <c r="B97" s="3">
        <v>2903</v>
      </c>
      <c r="C97" s="4" t="s">
        <v>139</v>
      </c>
      <c r="D97" s="4" t="s">
        <v>37</v>
      </c>
      <c r="E97" s="4" t="s">
        <v>13</v>
      </c>
      <c r="F97" s="4" t="s">
        <v>64</v>
      </c>
      <c r="G97" s="7">
        <v>9</v>
      </c>
      <c r="H97" s="11">
        <v>1955.2</v>
      </c>
      <c r="I97" s="11">
        <f t="shared" si="10"/>
        <v>17596.8</v>
      </c>
      <c r="J97">
        <f t="shared" si="11"/>
        <v>2025</v>
      </c>
      <c r="K97">
        <f t="shared" si="12"/>
        <v>5</v>
      </c>
      <c r="L97">
        <f t="shared" si="13"/>
        <v>27</v>
      </c>
      <c r="M97">
        <f t="shared" si="14"/>
        <v>3</v>
      </c>
      <c r="N97" s="9">
        <f t="shared" si="15"/>
        <v>7038.72</v>
      </c>
      <c r="O97" s="9">
        <f t="shared" si="16"/>
        <v>1759.68</v>
      </c>
      <c r="P97" t="str">
        <f t="shared" si="9"/>
        <v>2025_5</v>
      </c>
      <c r="Q97" t="str">
        <f>IF(Tabela1[[#This Row],[Total da Venda]]&gt;=10000,"VIP","NÃO VIP")</f>
        <v>VIP</v>
      </c>
    </row>
    <row r="98" spans="1:17" ht="15.75" customHeight="1" x14ac:dyDescent="0.25">
      <c r="A98" s="2">
        <v>45674</v>
      </c>
      <c r="B98" s="3">
        <v>7620</v>
      </c>
      <c r="C98" s="4" t="s">
        <v>140</v>
      </c>
      <c r="D98" s="4" t="s">
        <v>22</v>
      </c>
      <c r="E98" s="4" t="s">
        <v>19</v>
      </c>
      <c r="F98" s="4" t="s">
        <v>20</v>
      </c>
      <c r="G98" s="7">
        <v>1</v>
      </c>
      <c r="H98" s="11">
        <v>601.34</v>
      </c>
      <c r="I98" s="11">
        <f t="shared" si="10"/>
        <v>601.34</v>
      </c>
      <c r="J98">
        <f t="shared" si="11"/>
        <v>2025</v>
      </c>
      <c r="K98">
        <f t="shared" si="12"/>
        <v>1</v>
      </c>
      <c r="L98">
        <f t="shared" si="13"/>
        <v>17</v>
      </c>
      <c r="M98">
        <f t="shared" si="14"/>
        <v>6</v>
      </c>
      <c r="N98" s="9">
        <f t="shared" si="15"/>
        <v>240.53600000000003</v>
      </c>
      <c r="O98" s="9">
        <f t="shared" si="16"/>
        <v>60.134000000000007</v>
      </c>
      <c r="P98" t="str">
        <f t="shared" ref="P98:P129" si="17">CONCATENATE(J97,"_",K97)</f>
        <v>2025_5</v>
      </c>
      <c r="Q98" t="str">
        <f>IF(Tabela1[[#This Row],[Total da Venda]]&gt;=10000,"VIP","NÃO VIP")</f>
        <v>NÃO VIP</v>
      </c>
    </row>
    <row r="99" spans="1:17" ht="15.75" customHeight="1" x14ac:dyDescent="0.25">
      <c r="A99" s="2">
        <v>45648</v>
      </c>
      <c r="B99" s="3">
        <v>7232</v>
      </c>
      <c r="C99" s="4" t="s">
        <v>141</v>
      </c>
      <c r="D99" s="4" t="s">
        <v>63</v>
      </c>
      <c r="E99" s="4" t="s">
        <v>9</v>
      </c>
      <c r="F99" s="4" t="s">
        <v>102</v>
      </c>
      <c r="G99" s="7">
        <v>1</v>
      </c>
      <c r="H99" s="11">
        <v>840.27</v>
      </c>
      <c r="I99" s="11">
        <f t="shared" si="10"/>
        <v>840.27</v>
      </c>
      <c r="J99">
        <f t="shared" si="11"/>
        <v>2024</v>
      </c>
      <c r="K99">
        <f t="shared" si="12"/>
        <v>12</v>
      </c>
      <c r="L99">
        <f t="shared" si="13"/>
        <v>22</v>
      </c>
      <c r="M99">
        <f t="shared" si="14"/>
        <v>1</v>
      </c>
      <c r="N99" s="9">
        <f t="shared" si="15"/>
        <v>336.108</v>
      </c>
      <c r="O99" s="9">
        <f t="shared" si="16"/>
        <v>84.027000000000001</v>
      </c>
      <c r="P99" t="str">
        <f t="shared" si="17"/>
        <v>2025_1</v>
      </c>
      <c r="Q99" t="str">
        <f>IF(Tabela1[[#This Row],[Total da Venda]]&gt;=10000,"VIP","NÃO VIP")</f>
        <v>NÃO VIP</v>
      </c>
    </row>
    <row r="100" spans="1:17" ht="15.75" customHeight="1" x14ac:dyDescent="0.25">
      <c r="A100" s="2">
        <v>45703</v>
      </c>
      <c r="B100" s="3">
        <v>9149</v>
      </c>
      <c r="C100" s="4" t="s">
        <v>142</v>
      </c>
      <c r="D100" s="4" t="s">
        <v>37</v>
      </c>
      <c r="E100" s="4" t="s">
        <v>40</v>
      </c>
      <c r="F100" s="4" t="s">
        <v>70</v>
      </c>
      <c r="G100" s="7">
        <v>7</v>
      </c>
      <c r="H100" s="11">
        <v>2458.52</v>
      </c>
      <c r="I100" s="11">
        <f t="shared" si="10"/>
        <v>17209.64</v>
      </c>
      <c r="J100">
        <f t="shared" si="11"/>
        <v>2025</v>
      </c>
      <c r="K100">
        <f t="shared" si="12"/>
        <v>2</v>
      </c>
      <c r="L100">
        <f t="shared" si="13"/>
        <v>15</v>
      </c>
      <c r="M100">
        <f t="shared" si="14"/>
        <v>7</v>
      </c>
      <c r="N100" s="9">
        <f t="shared" si="15"/>
        <v>6883.8559999999998</v>
      </c>
      <c r="O100" s="9">
        <f t="shared" si="16"/>
        <v>1720.9639999999999</v>
      </c>
      <c r="P100" t="str">
        <f t="shared" si="17"/>
        <v>2024_12</v>
      </c>
      <c r="Q100" t="str">
        <f>IF(Tabela1[[#This Row],[Total da Venda]]&gt;=10000,"VIP","NÃO VIP")</f>
        <v>VIP</v>
      </c>
    </row>
    <row r="101" spans="1:17" ht="15.75" customHeight="1" x14ac:dyDescent="0.25">
      <c r="A101" s="2">
        <v>45641</v>
      </c>
      <c r="B101" s="3">
        <v>8798</v>
      </c>
      <c r="C101" s="4" t="s">
        <v>143</v>
      </c>
      <c r="D101" s="4" t="s">
        <v>27</v>
      </c>
      <c r="E101" s="4" t="s">
        <v>13</v>
      </c>
      <c r="F101" s="4" t="s">
        <v>64</v>
      </c>
      <c r="G101" s="7">
        <v>6</v>
      </c>
      <c r="H101" s="11">
        <v>1141.24</v>
      </c>
      <c r="I101" s="11">
        <f t="shared" si="10"/>
        <v>6847.4400000000005</v>
      </c>
      <c r="J101">
        <f t="shared" si="11"/>
        <v>2024</v>
      </c>
      <c r="K101">
        <f t="shared" si="12"/>
        <v>12</v>
      </c>
      <c r="L101">
        <f t="shared" si="13"/>
        <v>15</v>
      </c>
      <c r="M101">
        <f t="shared" si="14"/>
        <v>1</v>
      </c>
      <c r="N101" s="9">
        <f t="shared" si="15"/>
        <v>2738.9760000000006</v>
      </c>
      <c r="O101" s="9">
        <f t="shared" si="16"/>
        <v>684.74400000000014</v>
      </c>
      <c r="P101" t="str">
        <f t="shared" si="17"/>
        <v>2025_2</v>
      </c>
      <c r="Q101" t="str">
        <f>IF(Tabela1[[#This Row],[Total da Venda]]&gt;=10000,"VIP","NÃO VIP")</f>
        <v>NÃO VIP</v>
      </c>
    </row>
    <row r="102" spans="1:17" ht="15.75" customHeight="1" x14ac:dyDescent="0.25">
      <c r="A102" s="2">
        <v>45783</v>
      </c>
      <c r="B102" s="3">
        <v>4708</v>
      </c>
      <c r="C102" s="4" t="s">
        <v>144</v>
      </c>
      <c r="D102" s="4" t="s">
        <v>22</v>
      </c>
      <c r="E102" s="4" t="s">
        <v>40</v>
      </c>
      <c r="F102" s="4" t="s">
        <v>70</v>
      </c>
      <c r="G102" s="7">
        <v>3</v>
      </c>
      <c r="H102" s="11">
        <v>2759.63</v>
      </c>
      <c r="I102" s="11">
        <f t="shared" si="10"/>
        <v>8278.89</v>
      </c>
      <c r="J102">
        <f t="shared" si="11"/>
        <v>2025</v>
      </c>
      <c r="K102">
        <f t="shared" si="12"/>
        <v>5</v>
      </c>
      <c r="L102">
        <f t="shared" si="13"/>
        <v>6</v>
      </c>
      <c r="M102">
        <f t="shared" si="14"/>
        <v>3</v>
      </c>
      <c r="N102" s="9">
        <f t="shared" si="15"/>
        <v>3311.556</v>
      </c>
      <c r="O102" s="9">
        <f t="shared" si="16"/>
        <v>827.88900000000001</v>
      </c>
      <c r="P102" t="str">
        <f t="shared" si="17"/>
        <v>2024_12</v>
      </c>
      <c r="Q102" t="str">
        <f>IF(Tabela1[[#This Row],[Total da Venda]]&gt;=10000,"VIP","NÃO VIP")</f>
        <v>NÃO VIP</v>
      </c>
    </row>
    <row r="103" spans="1:17" ht="15.75" customHeight="1" x14ac:dyDescent="0.25">
      <c r="A103" s="2">
        <v>45648</v>
      </c>
      <c r="B103" s="3">
        <v>1138</v>
      </c>
      <c r="C103" s="4" t="s">
        <v>145</v>
      </c>
      <c r="D103" s="4" t="s">
        <v>37</v>
      </c>
      <c r="E103" s="4" t="s">
        <v>13</v>
      </c>
      <c r="F103" s="4" t="s">
        <v>64</v>
      </c>
      <c r="G103" s="7">
        <v>10</v>
      </c>
      <c r="H103" s="11">
        <v>1101.76</v>
      </c>
      <c r="I103" s="11">
        <f t="shared" si="10"/>
        <v>11017.6</v>
      </c>
      <c r="J103">
        <f t="shared" si="11"/>
        <v>2024</v>
      </c>
      <c r="K103">
        <f t="shared" si="12"/>
        <v>12</v>
      </c>
      <c r="L103">
        <f t="shared" si="13"/>
        <v>22</v>
      </c>
      <c r="M103">
        <f t="shared" si="14"/>
        <v>1</v>
      </c>
      <c r="N103" s="9">
        <f t="shared" si="15"/>
        <v>4407.04</v>
      </c>
      <c r="O103" s="9">
        <f t="shared" si="16"/>
        <v>1101.76</v>
      </c>
      <c r="P103" t="str">
        <f t="shared" si="17"/>
        <v>2025_5</v>
      </c>
      <c r="Q103" t="str">
        <f>IF(Tabela1[[#This Row],[Total da Venda]]&gt;=10000,"VIP","NÃO VIP")</f>
        <v>VIP</v>
      </c>
    </row>
    <row r="104" spans="1:17" ht="15.75" customHeight="1" x14ac:dyDescent="0.25">
      <c r="A104" s="2">
        <v>45725</v>
      </c>
      <c r="B104" s="3">
        <v>1498</v>
      </c>
      <c r="C104" s="4" t="s">
        <v>146</v>
      </c>
      <c r="D104" s="4" t="s">
        <v>22</v>
      </c>
      <c r="E104" s="4" t="s">
        <v>13</v>
      </c>
      <c r="F104" s="4" t="s">
        <v>56</v>
      </c>
      <c r="G104" s="7">
        <v>3</v>
      </c>
      <c r="H104" s="11">
        <v>1257.06</v>
      </c>
      <c r="I104" s="11">
        <f t="shared" si="10"/>
        <v>3771.18</v>
      </c>
      <c r="J104">
        <f t="shared" si="11"/>
        <v>2025</v>
      </c>
      <c r="K104">
        <f t="shared" si="12"/>
        <v>3</v>
      </c>
      <c r="L104">
        <f t="shared" si="13"/>
        <v>9</v>
      </c>
      <c r="M104">
        <f t="shared" si="14"/>
        <v>1</v>
      </c>
      <c r="N104" s="9">
        <f t="shared" si="15"/>
        <v>1508.472</v>
      </c>
      <c r="O104" s="9">
        <f t="shared" si="16"/>
        <v>377.11799999999999</v>
      </c>
      <c r="P104" t="str">
        <f t="shared" si="17"/>
        <v>2024_12</v>
      </c>
      <c r="Q104" t="str">
        <f>IF(Tabela1[[#This Row],[Total da Venda]]&gt;=10000,"VIP","NÃO VIP")</f>
        <v>NÃO VIP</v>
      </c>
    </row>
    <row r="105" spans="1:17" ht="15.75" customHeight="1" x14ac:dyDescent="0.25">
      <c r="A105" s="2">
        <v>45693</v>
      </c>
      <c r="B105" s="3">
        <v>5553</v>
      </c>
      <c r="C105" s="4" t="s">
        <v>147</v>
      </c>
      <c r="D105" s="4" t="s">
        <v>37</v>
      </c>
      <c r="E105" s="4" t="s">
        <v>19</v>
      </c>
      <c r="F105" s="4" t="s">
        <v>23</v>
      </c>
      <c r="G105" s="7">
        <v>7</v>
      </c>
      <c r="H105" s="11">
        <v>1653.32</v>
      </c>
      <c r="I105" s="11">
        <f t="shared" si="10"/>
        <v>11573.24</v>
      </c>
      <c r="J105">
        <f t="shared" si="11"/>
        <v>2025</v>
      </c>
      <c r="K105">
        <f t="shared" si="12"/>
        <v>2</v>
      </c>
      <c r="L105">
        <f t="shared" si="13"/>
        <v>5</v>
      </c>
      <c r="M105">
        <f t="shared" si="14"/>
        <v>4</v>
      </c>
      <c r="N105" s="9">
        <f t="shared" si="15"/>
        <v>4629.2960000000003</v>
      </c>
      <c r="O105" s="9">
        <f t="shared" si="16"/>
        <v>1157.3240000000001</v>
      </c>
      <c r="P105" t="str">
        <f t="shared" si="17"/>
        <v>2025_3</v>
      </c>
      <c r="Q105" t="str">
        <f>IF(Tabela1[[#This Row],[Total da Venda]]&gt;=10000,"VIP","NÃO VIP")</f>
        <v>VIP</v>
      </c>
    </row>
    <row r="106" spans="1:17" ht="15.75" customHeight="1" x14ac:dyDescent="0.25">
      <c r="A106" s="2">
        <v>45661</v>
      </c>
      <c r="B106" s="3">
        <v>9583</v>
      </c>
      <c r="C106" s="4" t="s">
        <v>148</v>
      </c>
      <c r="D106" s="4" t="s">
        <v>22</v>
      </c>
      <c r="E106" s="4" t="s">
        <v>9</v>
      </c>
      <c r="F106" s="4" t="s">
        <v>28</v>
      </c>
      <c r="G106" s="7">
        <v>10</v>
      </c>
      <c r="H106" s="11">
        <v>1492.2</v>
      </c>
      <c r="I106" s="11">
        <f t="shared" si="10"/>
        <v>14922</v>
      </c>
      <c r="J106">
        <f t="shared" si="11"/>
        <v>2025</v>
      </c>
      <c r="K106">
        <f t="shared" si="12"/>
        <v>1</v>
      </c>
      <c r="L106">
        <f t="shared" si="13"/>
        <v>4</v>
      </c>
      <c r="M106">
        <f t="shared" si="14"/>
        <v>7</v>
      </c>
      <c r="N106" s="9">
        <f t="shared" si="15"/>
        <v>5968.8</v>
      </c>
      <c r="O106" s="9">
        <f t="shared" si="16"/>
        <v>1492.2</v>
      </c>
      <c r="P106" t="str">
        <f t="shared" si="17"/>
        <v>2025_2</v>
      </c>
      <c r="Q106" t="str">
        <f>IF(Tabela1[[#This Row],[Total da Venda]]&gt;=10000,"VIP","NÃO VIP")</f>
        <v>VIP</v>
      </c>
    </row>
    <row r="107" spans="1:17" ht="15.75" customHeight="1" x14ac:dyDescent="0.25">
      <c r="A107" s="2">
        <v>45710</v>
      </c>
      <c r="B107" s="3">
        <v>7054</v>
      </c>
      <c r="C107" s="4" t="s">
        <v>149</v>
      </c>
      <c r="D107" s="4" t="s">
        <v>27</v>
      </c>
      <c r="E107" s="4" t="s">
        <v>52</v>
      </c>
      <c r="F107" s="4" t="s">
        <v>97</v>
      </c>
      <c r="G107" s="7">
        <v>7</v>
      </c>
      <c r="H107" s="11">
        <v>1826.29</v>
      </c>
      <c r="I107" s="11">
        <f t="shared" si="10"/>
        <v>12784.029999999999</v>
      </c>
      <c r="J107">
        <f t="shared" si="11"/>
        <v>2025</v>
      </c>
      <c r="K107">
        <f t="shared" si="12"/>
        <v>2</v>
      </c>
      <c r="L107">
        <f t="shared" si="13"/>
        <v>22</v>
      </c>
      <c r="M107">
        <f t="shared" si="14"/>
        <v>7</v>
      </c>
      <c r="N107" s="9">
        <f t="shared" si="15"/>
        <v>5113.6120000000001</v>
      </c>
      <c r="O107" s="9">
        <f t="shared" si="16"/>
        <v>1278.403</v>
      </c>
      <c r="P107" t="str">
        <f t="shared" si="17"/>
        <v>2025_1</v>
      </c>
      <c r="Q107" t="str">
        <f>IF(Tabela1[[#This Row],[Total da Venda]]&gt;=10000,"VIP","NÃO VIP")</f>
        <v>VIP</v>
      </c>
    </row>
    <row r="108" spans="1:17" ht="15.75" customHeight="1" x14ac:dyDescent="0.25">
      <c r="A108" s="2">
        <v>45750</v>
      </c>
      <c r="B108" s="3">
        <v>2731</v>
      </c>
      <c r="C108" s="4" t="s">
        <v>150</v>
      </c>
      <c r="D108" s="4" t="s">
        <v>16</v>
      </c>
      <c r="E108" s="4" t="s">
        <v>19</v>
      </c>
      <c r="F108" s="4" t="s">
        <v>20</v>
      </c>
      <c r="G108" s="7">
        <v>8</v>
      </c>
      <c r="H108" s="11">
        <v>1717.45</v>
      </c>
      <c r="I108" s="11">
        <f t="shared" si="10"/>
        <v>13739.6</v>
      </c>
      <c r="J108">
        <f t="shared" si="11"/>
        <v>2025</v>
      </c>
      <c r="K108">
        <f t="shared" si="12"/>
        <v>4</v>
      </c>
      <c r="L108">
        <f t="shared" si="13"/>
        <v>3</v>
      </c>
      <c r="M108">
        <f t="shared" si="14"/>
        <v>5</v>
      </c>
      <c r="N108" s="9">
        <f t="shared" si="15"/>
        <v>5495.84</v>
      </c>
      <c r="O108" s="9">
        <f t="shared" si="16"/>
        <v>1373.96</v>
      </c>
      <c r="P108" t="str">
        <f t="shared" si="17"/>
        <v>2025_2</v>
      </c>
      <c r="Q108" t="str">
        <f>IF(Tabela1[[#This Row],[Total da Venda]]&gt;=10000,"VIP","NÃO VIP")</f>
        <v>VIP</v>
      </c>
    </row>
    <row r="109" spans="1:17" ht="15.75" customHeight="1" x14ac:dyDescent="0.25">
      <c r="A109" s="2">
        <v>45641</v>
      </c>
      <c r="B109" s="3">
        <v>3868</v>
      </c>
      <c r="C109" s="4" t="s">
        <v>151</v>
      </c>
      <c r="D109" s="4" t="s">
        <v>63</v>
      </c>
      <c r="E109" s="4" t="s">
        <v>13</v>
      </c>
      <c r="F109" s="4" t="s">
        <v>14</v>
      </c>
      <c r="G109" s="7">
        <v>4</v>
      </c>
      <c r="H109" s="11">
        <v>1069.52</v>
      </c>
      <c r="I109" s="11">
        <f t="shared" si="10"/>
        <v>4278.08</v>
      </c>
      <c r="J109">
        <f t="shared" si="11"/>
        <v>2024</v>
      </c>
      <c r="K109">
        <f t="shared" si="12"/>
        <v>12</v>
      </c>
      <c r="L109">
        <f t="shared" si="13"/>
        <v>15</v>
      </c>
      <c r="M109">
        <f t="shared" si="14"/>
        <v>1</v>
      </c>
      <c r="N109" s="9">
        <f t="shared" si="15"/>
        <v>1711.232</v>
      </c>
      <c r="O109" s="9">
        <f t="shared" si="16"/>
        <v>427.80799999999999</v>
      </c>
      <c r="P109" t="str">
        <f t="shared" si="17"/>
        <v>2025_4</v>
      </c>
      <c r="Q109" t="str">
        <f>IF(Tabela1[[#This Row],[Total da Venda]]&gt;=10000,"VIP","NÃO VIP")</f>
        <v>NÃO VIP</v>
      </c>
    </row>
    <row r="110" spans="1:17" ht="15.75" customHeight="1" x14ac:dyDescent="0.25">
      <c r="A110" s="2">
        <v>45714</v>
      </c>
      <c r="B110" s="3">
        <v>1273</v>
      </c>
      <c r="C110" s="4" t="s">
        <v>152</v>
      </c>
      <c r="D110" s="4" t="s">
        <v>8</v>
      </c>
      <c r="E110" s="4" t="s">
        <v>40</v>
      </c>
      <c r="F110" s="4" t="s">
        <v>45</v>
      </c>
      <c r="G110" s="7">
        <v>7</v>
      </c>
      <c r="H110" s="11">
        <v>384.15</v>
      </c>
      <c r="I110" s="11">
        <f t="shared" si="10"/>
        <v>2689.0499999999997</v>
      </c>
      <c r="J110">
        <f t="shared" si="11"/>
        <v>2025</v>
      </c>
      <c r="K110">
        <f t="shared" si="12"/>
        <v>2</v>
      </c>
      <c r="L110">
        <f t="shared" si="13"/>
        <v>26</v>
      </c>
      <c r="M110">
        <f t="shared" si="14"/>
        <v>4</v>
      </c>
      <c r="N110" s="9">
        <f t="shared" si="15"/>
        <v>1075.6199999999999</v>
      </c>
      <c r="O110" s="9">
        <f t="shared" si="16"/>
        <v>268.90499999999997</v>
      </c>
      <c r="P110" t="str">
        <f t="shared" si="17"/>
        <v>2024_12</v>
      </c>
      <c r="Q110" t="str">
        <f>IF(Tabela1[[#This Row],[Total da Venda]]&gt;=10000,"VIP","NÃO VIP")</f>
        <v>NÃO VIP</v>
      </c>
    </row>
    <row r="111" spans="1:17" ht="15.75" customHeight="1" x14ac:dyDescent="0.25">
      <c r="A111" s="2">
        <v>45650</v>
      </c>
      <c r="B111" s="3">
        <v>3384</v>
      </c>
      <c r="C111" s="4" t="s">
        <v>153</v>
      </c>
      <c r="D111" s="4" t="s">
        <v>8</v>
      </c>
      <c r="E111" s="4" t="s">
        <v>40</v>
      </c>
      <c r="F111" s="4" t="s">
        <v>61</v>
      </c>
      <c r="G111" s="7">
        <v>5</v>
      </c>
      <c r="H111" s="11">
        <v>1132.81</v>
      </c>
      <c r="I111" s="11">
        <f t="shared" si="10"/>
        <v>5664.0499999999993</v>
      </c>
      <c r="J111">
        <f t="shared" si="11"/>
        <v>2024</v>
      </c>
      <c r="K111">
        <f t="shared" si="12"/>
        <v>12</v>
      </c>
      <c r="L111">
        <f t="shared" si="13"/>
        <v>24</v>
      </c>
      <c r="M111">
        <f t="shared" si="14"/>
        <v>3</v>
      </c>
      <c r="N111" s="9">
        <f t="shared" si="15"/>
        <v>2265.62</v>
      </c>
      <c r="O111" s="9">
        <f t="shared" si="16"/>
        <v>566.40499999999997</v>
      </c>
      <c r="P111" t="str">
        <f t="shared" si="17"/>
        <v>2025_2</v>
      </c>
      <c r="Q111" t="str">
        <f>IF(Tabela1[[#This Row],[Total da Venda]]&gt;=10000,"VIP","NÃO VIP")</f>
        <v>NÃO VIP</v>
      </c>
    </row>
    <row r="112" spans="1:17" ht="15.75" customHeight="1" x14ac:dyDescent="0.25">
      <c r="A112" s="2">
        <v>45733</v>
      </c>
      <c r="B112" s="3">
        <v>3608</v>
      </c>
      <c r="C112" s="4" t="s">
        <v>154</v>
      </c>
      <c r="D112" s="4" t="s">
        <v>63</v>
      </c>
      <c r="E112" s="4" t="s">
        <v>40</v>
      </c>
      <c r="F112" s="4" t="s">
        <v>85</v>
      </c>
      <c r="G112" s="7">
        <v>2</v>
      </c>
      <c r="H112" s="11">
        <v>2607.2399999999998</v>
      </c>
      <c r="I112" s="11">
        <f t="shared" si="10"/>
        <v>5214.4799999999996</v>
      </c>
      <c r="J112">
        <f t="shared" si="11"/>
        <v>2025</v>
      </c>
      <c r="K112">
        <f t="shared" si="12"/>
        <v>3</v>
      </c>
      <c r="L112">
        <f t="shared" si="13"/>
        <v>17</v>
      </c>
      <c r="M112">
        <f t="shared" si="14"/>
        <v>2</v>
      </c>
      <c r="N112" s="9">
        <f t="shared" si="15"/>
        <v>2085.7919999999999</v>
      </c>
      <c r="O112" s="9">
        <f t="shared" si="16"/>
        <v>521.44799999999998</v>
      </c>
      <c r="P112" t="str">
        <f t="shared" si="17"/>
        <v>2024_12</v>
      </c>
      <c r="Q112" t="str">
        <f>IF(Tabela1[[#This Row],[Total da Venda]]&gt;=10000,"VIP","NÃO VIP")</f>
        <v>NÃO VIP</v>
      </c>
    </row>
    <row r="113" spans="1:17" ht="15.75" customHeight="1" x14ac:dyDescent="0.25">
      <c r="A113" s="2">
        <v>45746</v>
      </c>
      <c r="B113" s="3">
        <v>2612</v>
      </c>
      <c r="C113" s="4" t="s">
        <v>155</v>
      </c>
      <c r="D113" s="4" t="s">
        <v>8</v>
      </c>
      <c r="E113" s="4" t="s">
        <v>40</v>
      </c>
      <c r="F113" s="4" t="s">
        <v>61</v>
      </c>
      <c r="G113" s="7">
        <v>4</v>
      </c>
      <c r="H113" s="11">
        <v>1886.77</v>
      </c>
      <c r="I113" s="11">
        <f t="shared" si="10"/>
        <v>7547.08</v>
      </c>
      <c r="J113">
        <f t="shared" si="11"/>
        <v>2025</v>
      </c>
      <c r="K113">
        <f t="shared" si="12"/>
        <v>3</v>
      </c>
      <c r="L113">
        <f t="shared" si="13"/>
        <v>30</v>
      </c>
      <c r="M113">
        <f t="shared" si="14"/>
        <v>1</v>
      </c>
      <c r="N113" s="9">
        <f t="shared" si="15"/>
        <v>3018.8320000000003</v>
      </c>
      <c r="O113" s="9">
        <f t="shared" si="16"/>
        <v>754.70800000000008</v>
      </c>
      <c r="P113" t="str">
        <f t="shared" si="17"/>
        <v>2025_3</v>
      </c>
      <c r="Q113" t="str">
        <f>IF(Tabela1[[#This Row],[Total da Venda]]&gt;=10000,"VIP","NÃO VIP")</f>
        <v>NÃO VIP</v>
      </c>
    </row>
    <row r="114" spans="1:17" ht="15.75" customHeight="1" x14ac:dyDescent="0.25">
      <c r="A114" s="2">
        <v>45685</v>
      </c>
      <c r="B114" s="3">
        <v>2229</v>
      </c>
      <c r="C114" s="4" t="s">
        <v>156</v>
      </c>
      <c r="D114" s="4" t="s">
        <v>16</v>
      </c>
      <c r="E114" s="4" t="s">
        <v>52</v>
      </c>
      <c r="F114" s="4" t="s">
        <v>97</v>
      </c>
      <c r="G114" s="7">
        <v>6</v>
      </c>
      <c r="H114" s="11">
        <v>2273.92</v>
      </c>
      <c r="I114" s="11">
        <f t="shared" si="10"/>
        <v>13643.52</v>
      </c>
      <c r="J114">
        <f t="shared" si="11"/>
        <v>2025</v>
      </c>
      <c r="K114">
        <f t="shared" si="12"/>
        <v>1</v>
      </c>
      <c r="L114">
        <f t="shared" si="13"/>
        <v>28</v>
      </c>
      <c r="M114">
        <f t="shared" si="14"/>
        <v>3</v>
      </c>
      <c r="N114" s="9">
        <f t="shared" si="15"/>
        <v>5457.4080000000004</v>
      </c>
      <c r="O114" s="9">
        <f t="shared" si="16"/>
        <v>1364.3520000000001</v>
      </c>
      <c r="P114" t="str">
        <f t="shared" si="17"/>
        <v>2025_3</v>
      </c>
      <c r="Q114" t="str">
        <f>IF(Tabela1[[#This Row],[Total da Venda]]&gt;=10000,"VIP","NÃO VIP")</f>
        <v>VIP</v>
      </c>
    </row>
    <row r="115" spans="1:17" ht="15.75" customHeight="1" x14ac:dyDescent="0.25">
      <c r="A115" s="2">
        <v>45680</v>
      </c>
      <c r="B115" s="3">
        <v>8924</v>
      </c>
      <c r="C115" s="4" t="s">
        <v>157</v>
      </c>
      <c r="D115" s="4" t="s">
        <v>27</v>
      </c>
      <c r="E115" s="4" t="s">
        <v>52</v>
      </c>
      <c r="F115" s="4" t="s">
        <v>97</v>
      </c>
      <c r="G115" s="7">
        <v>9</v>
      </c>
      <c r="H115" s="11">
        <v>1570.37</v>
      </c>
      <c r="I115" s="11">
        <f t="shared" si="10"/>
        <v>14133.329999999998</v>
      </c>
      <c r="J115">
        <f t="shared" si="11"/>
        <v>2025</v>
      </c>
      <c r="K115">
        <f t="shared" si="12"/>
        <v>1</v>
      </c>
      <c r="L115">
        <f t="shared" si="13"/>
        <v>23</v>
      </c>
      <c r="M115">
        <f t="shared" si="14"/>
        <v>5</v>
      </c>
      <c r="N115" s="9">
        <f t="shared" si="15"/>
        <v>5653.3319999999994</v>
      </c>
      <c r="O115" s="9">
        <f t="shared" si="16"/>
        <v>1413.3329999999999</v>
      </c>
      <c r="P115" t="str">
        <f t="shared" si="17"/>
        <v>2025_1</v>
      </c>
      <c r="Q115" t="str">
        <f>IF(Tabela1[[#This Row],[Total da Venda]]&gt;=10000,"VIP","NÃO VIP")</f>
        <v>VIP</v>
      </c>
    </row>
    <row r="116" spans="1:17" ht="15.75" customHeight="1" x14ac:dyDescent="0.25">
      <c r="A116" s="2">
        <v>45753</v>
      </c>
      <c r="B116" s="3">
        <v>7345</v>
      </c>
      <c r="C116" s="4" t="s">
        <v>158</v>
      </c>
      <c r="D116" s="4" t="s">
        <v>37</v>
      </c>
      <c r="E116" s="4" t="s">
        <v>19</v>
      </c>
      <c r="F116" s="4" t="s">
        <v>23</v>
      </c>
      <c r="G116" s="7">
        <v>2</v>
      </c>
      <c r="H116" s="11">
        <v>510.08</v>
      </c>
      <c r="I116" s="11">
        <f t="shared" si="10"/>
        <v>1020.16</v>
      </c>
      <c r="J116">
        <f t="shared" si="11"/>
        <v>2025</v>
      </c>
      <c r="K116">
        <f t="shared" si="12"/>
        <v>4</v>
      </c>
      <c r="L116">
        <f t="shared" si="13"/>
        <v>6</v>
      </c>
      <c r="M116">
        <f t="shared" si="14"/>
        <v>1</v>
      </c>
      <c r="N116" s="9">
        <f t="shared" si="15"/>
        <v>408.06400000000002</v>
      </c>
      <c r="O116" s="9">
        <f t="shared" si="16"/>
        <v>102.01600000000001</v>
      </c>
      <c r="P116" t="str">
        <f t="shared" si="17"/>
        <v>2025_1</v>
      </c>
      <c r="Q116" t="str">
        <f>IF(Tabela1[[#This Row],[Total da Venda]]&gt;=10000,"VIP","NÃO VIP")</f>
        <v>NÃO VIP</v>
      </c>
    </row>
    <row r="117" spans="1:17" ht="15.75" customHeight="1" x14ac:dyDescent="0.25">
      <c r="A117" s="2">
        <v>45749</v>
      </c>
      <c r="B117" s="3">
        <v>3138</v>
      </c>
      <c r="C117" s="4" t="s">
        <v>159</v>
      </c>
      <c r="D117" s="4" t="s">
        <v>22</v>
      </c>
      <c r="E117" s="4" t="s">
        <v>13</v>
      </c>
      <c r="F117" s="4" t="s">
        <v>64</v>
      </c>
      <c r="G117" s="7">
        <v>5</v>
      </c>
      <c r="H117" s="11">
        <v>2043.33</v>
      </c>
      <c r="I117" s="11">
        <f t="shared" si="10"/>
        <v>10216.65</v>
      </c>
      <c r="J117">
        <f t="shared" si="11"/>
        <v>2025</v>
      </c>
      <c r="K117">
        <f t="shared" si="12"/>
        <v>4</v>
      </c>
      <c r="L117">
        <f t="shared" si="13"/>
        <v>2</v>
      </c>
      <c r="M117">
        <f t="shared" si="14"/>
        <v>4</v>
      </c>
      <c r="N117" s="9">
        <f t="shared" si="15"/>
        <v>4086.66</v>
      </c>
      <c r="O117" s="9">
        <f t="shared" si="16"/>
        <v>1021.665</v>
      </c>
      <c r="P117" t="str">
        <f t="shared" si="17"/>
        <v>2025_4</v>
      </c>
      <c r="Q117" t="str">
        <f>IF(Tabela1[[#This Row],[Total da Venda]]&gt;=10000,"VIP","NÃO VIP")</f>
        <v>VIP</v>
      </c>
    </row>
    <row r="118" spans="1:17" ht="15.75" customHeight="1" x14ac:dyDescent="0.25">
      <c r="A118" s="2">
        <v>45683</v>
      </c>
      <c r="B118" s="3">
        <v>2132</v>
      </c>
      <c r="C118" s="4" t="s">
        <v>160</v>
      </c>
      <c r="D118" s="4" t="s">
        <v>63</v>
      </c>
      <c r="E118" s="4" t="s">
        <v>52</v>
      </c>
      <c r="F118" s="4" t="s">
        <v>82</v>
      </c>
      <c r="G118" s="7">
        <v>6</v>
      </c>
      <c r="H118" s="11">
        <v>2597.6</v>
      </c>
      <c r="I118" s="11">
        <f t="shared" si="10"/>
        <v>15585.599999999999</v>
      </c>
      <c r="J118">
        <f t="shared" si="11"/>
        <v>2025</v>
      </c>
      <c r="K118">
        <f t="shared" si="12"/>
        <v>1</v>
      </c>
      <c r="L118">
        <f t="shared" si="13"/>
        <v>26</v>
      </c>
      <c r="M118">
        <f t="shared" si="14"/>
        <v>1</v>
      </c>
      <c r="N118" s="9">
        <f t="shared" si="15"/>
        <v>6234.24</v>
      </c>
      <c r="O118" s="9">
        <f t="shared" si="16"/>
        <v>1558.56</v>
      </c>
      <c r="P118" t="str">
        <f t="shared" si="17"/>
        <v>2025_4</v>
      </c>
      <c r="Q118" t="str">
        <f>IF(Tabela1[[#This Row],[Total da Venda]]&gt;=10000,"VIP","NÃO VIP")</f>
        <v>VIP</v>
      </c>
    </row>
    <row r="119" spans="1:17" ht="15.75" customHeight="1" x14ac:dyDescent="0.25">
      <c r="A119" s="2">
        <v>45718</v>
      </c>
      <c r="B119" s="3">
        <v>9202</v>
      </c>
      <c r="C119" s="4" t="s">
        <v>161</v>
      </c>
      <c r="D119" s="4" t="s">
        <v>27</v>
      </c>
      <c r="E119" s="4" t="s">
        <v>19</v>
      </c>
      <c r="F119" s="4" t="s">
        <v>23</v>
      </c>
      <c r="G119" s="7">
        <v>5</v>
      </c>
      <c r="H119" s="11">
        <v>2533.86</v>
      </c>
      <c r="I119" s="11">
        <f t="shared" si="10"/>
        <v>12669.300000000001</v>
      </c>
      <c r="J119">
        <f t="shared" si="11"/>
        <v>2025</v>
      </c>
      <c r="K119">
        <f t="shared" si="12"/>
        <v>3</v>
      </c>
      <c r="L119">
        <f t="shared" si="13"/>
        <v>2</v>
      </c>
      <c r="M119">
        <f t="shared" si="14"/>
        <v>1</v>
      </c>
      <c r="N119" s="9">
        <f t="shared" si="15"/>
        <v>5067.7200000000012</v>
      </c>
      <c r="O119" s="9">
        <f t="shared" si="16"/>
        <v>1266.9300000000003</v>
      </c>
      <c r="P119" t="str">
        <f t="shared" si="17"/>
        <v>2025_1</v>
      </c>
      <c r="Q119" t="str">
        <f>IF(Tabela1[[#This Row],[Total da Venda]]&gt;=10000,"VIP","NÃO VIP")</f>
        <v>VIP</v>
      </c>
    </row>
    <row r="120" spans="1:17" ht="15.75" customHeight="1" x14ac:dyDescent="0.25">
      <c r="A120" s="2">
        <v>45760</v>
      </c>
      <c r="B120" s="3">
        <v>7029</v>
      </c>
      <c r="C120" s="4" t="s">
        <v>162</v>
      </c>
      <c r="D120" s="4" t="s">
        <v>8</v>
      </c>
      <c r="E120" s="4" t="s">
        <v>19</v>
      </c>
      <c r="F120" s="4" t="s">
        <v>75</v>
      </c>
      <c r="G120" s="7">
        <v>9</v>
      </c>
      <c r="H120" s="11">
        <v>491.42</v>
      </c>
      <c r="I120" s="11">
        <f t="shared" si="10"/>
        <v>4422.78</v>
      </c>
      <c r="J120">
        <f t="shared" si="11"/>
        <v>2025</v>
      </c>
      <c r="K120">
        <f t="shared" si="12"/>
        <v>4</v>
      </c>
      <c r="L120">
        <f t="shared" si="13"/>
        <v>13</v>
      </c>
      <c r="M120">
        <f t="shared" si="14"/>
        <v>1</v>
      </c>
      <c r="N120" s="9">
        <f t="shared" si="15"/>
        <v>1769.1120000000001</v>
      </c>
      <c r="O120" s="9">
        <f t="shared" si="16"/>
        <v>442.27800000000002</v>
      </c>
      <c r="P120" t="str">
        <f t="shared" si="17"/>
        <v>2025_3</v>
      </c>
      <c r="Q120" t="str">
        <f>IF(Tabela1[[#This Row],[Total da Venda]]&gt;=10000,"VIP","NÃO VIP")</f>
        <v>NÃO VIP</v>
      </c>
    </row>
    <row r="121" spans="1:17" ht="15.75" customHeight="1" x14ac:dyDescent="0.25">
      <c r="A121" s="2">
        <v>45752</v>
      </c>
      <c r="B121" s="3">
        <v>6444</v>
      </c>
      <c r="C121" s="4" t="s">
        <v>163</v>
      </c>
      <c r="D121" s="4" t="s">
        <v>27</v>
      </c>
      <c r="E121" s="4" t="s">
        <v>52</v>
      </c>
      <c r="F121" s="4" t="s">
        <v>53</v>
      </c>
      <c r="G121" s="7">
        <v>4</v>
      </c>
      <c r="H121" s="11">
        <v>2161.2399999999998</v>
      </c>
      <c r="I121" s="11">
        <f t="shared" si="10"/>
        <v>8644.9599999999991</v>
      </c>
      <c r="J121">
        <f t="shared" si="11"/>
        <v>2025</v>
      </c>
      <c r="K121">
        <f t="shared" si="12"/>
        <v>4</v>
      </c>
      <c r="L121">
        <f t="shared" si="13"/>
        <v>5</v>
      </c>
      <c r="M121">
        <f t="shared" si="14"/>
        <v>7</v>
      </c>
      <c r="N121" s="9">
        <f t="shared" si="15"/>
        <v>3457.9839999999999</v>
      </c>
      <c r="O121" s="9">
        <f t="shared" si="16"/>
        <v>864.49599999999998</v>
      </c>
      <c r="P121" t="str">
        <f t="shared" si="17"/>
        <v>2025_4</v>
      </c>
      <c r="Q121" t="str">
        <f>IF(Tabela1[[#This Row],[Total da Venda]]&gt;=10000,"VIP","NÃO VIP")</f>
        <v>NÃO VIP</v>
      </c>
    </row>
    <row r="122" spans="1:17" ht="15.75" customHeight="1" x14ac:dyDescent="0.25">
      <c r="A122" s="2">
        <v>45670</v>
      </c>
      <c r="B122" s="3">
        <v>7530</v>
      </c>
      <c r="C122" s="4" t="s">
        <v>164</v>
      </c>
      <c r="D122" s="4" t="s">
        <v>16</v>
      </c>
      <c r="E122" s="4" t="s">
        <v>9</v>
      </c>
      <c r="F122" s="4" t="s">
        <v>28</v>
      </c>
      <c r="G122" s="7">
        <v>2</v>
      </c>
      <c r="H122" s="11">
        <v>2691.05</v>
      </c>
      <c r="I122" s="11">
        <f t="shared" si="10"/>
        <v>5382.1</v>
      </c>
      <c r="J122">
        <f t="shared" si="11"/>
        <v>2025</v>
      </c>
      <c r="K122">
        <f t="shared" si="12"/>
        <v>1</v>
      </c>
      <c r="L122">
        <f t="shared" si="13"/>
        <v>13</v>
      </c>
      <c r="M122">
        <f t="shared" si="14"/>
        <v>2</v>
      </c>
      <c r="N122" s="9">
        <f t="shared" si="15"/>
        <v>2152.84</v>
      </c>
      <c r="O122" s="9">
        <f t="shared" si="16"/>
        <v>538.21</v>
      </c>
      <c r="P122" t="str">
        <f t="shared" si="17"/>
        <v>2025_4</v>
      </c>
      <c r="Q122" t="str">
        <f>IF(Tabela1[[#This Row],[Total da Venda]]&gt;=10000,"VIP","NÃO VIP")</f>
        <v>NÃO VIP</v>
      </c>
    </row>
    <row r="123" spans="1:17" ht="15.75" customHeight="1" x14ac:dyDescent="0.25">
      <c r="A123" s="2">
        <v>45709</v>
      </c>
      <c r="B123" s="3">
        <v>8128</v>
      </c>
      <c r="C123" s="4" t="s">
        <v>165</v>
      </c>
      <c r="D123" s="4" t="s">
        <v>12</v>
      </c>
      <c r="E123" s="4" t="s">
        <v>40</v>
      </c>
      <c r="F123" s="4" t="s">
        <v>85</v>
      </c>
      <c r="G123" s="7">
        <v>3</v>
      </c>
      <c r="H123" s="11">
        <v>51.35</v>
      </c>
      <c r="I123" s="11">
        <f t="shared" si="10"/>
        <v>154.05000000000001</v>
      </c>
      <c r="J123">
        <f t="shared" si="11"/>
        <v>2025</v>
      </c>
      <c r="K123">
        <f t="shared" si="12"/>
        <v>2</v>
      </c>
      <c r="L123">
        <f t="shared" si="13"/>
        <v>21</v>
      </c>
      <c r="M123">
        <f t="shared" si="14"/>
        <v>6</v>
      </c>
      <c r="N123" s="9">
        <f t="shared" si="15"/>
        <v>61.620000000000005</v>
      </c>
      <c r="O123" s="9">
        <f t="shared" si="16"/>
        <v>15.405000000000001</v>
      </c>
      <c r="P123" t="str">
        <f t="shared" si="17"/>
        <v>2025_1</v>
      </c>
      <c r="Q123" t="str">
        <f>IF(Tabela1[[#This Row],[Total da Venda]]&gt;=10000,"VIP","NÃO VIP")</f>
        <v>NÃO VIP</v>
      </c>
    </row>
    <row r="124" spans="1:17" ht="15.75" customHeight="1" x14ac:dyDescent="0.25">
      <c r="A124" s="2">
        <v>45765</v>
      </c>
      <c r="B124" s="3">
        <v>9002</v>
      </c>
      <c r="C124" s="4" t="s">
        <v>166</v>
      </c>
      <c r="D124" s="4" t="s">
        <v>27</v>
      </c>
      <c r="E124" s="4" t="s">
        <v>9</v>
      </c>
      <c r="F124" s="4" t="s">
        <v>28</v>
      </c>
      <c r="G124" s="7">
        <v>8</v>
      </c>
      <c r="H124" s="11">
        <v>781.16</v>
      </c>
      <c r="I124" s="11">
        <f t="shared" si="10"/>
        <v>6249.28</v>
      </c>
      <c r="J124">
        <f t="shared" si="11"/>
        <v>2025</v>
      </c>
      <c r="K124">
        <f t="shared" si="12"/>
        <v>4</v>
      </c>
      <c r="L124">
        <f t="shared" si="13"/>
        <v>18</v>
      </c>
      <c r="M124">
        <f t="shared" si="14"/>
        <v>6</v>
      </c>
      <c r="N124" s="9">
        <f t="shared" si="15"/>
        <v>2499.712</v>
      </c>
      <c r="O124" s="9">
        <f t="shared" si="16"/>
        <v>624.928</v>
      </c>
      <c r="P124" t="str">
        <f t="shared" si="17"/>
        <v>2025_2</v>
      </c>
      <c r="Q124" t="str">
        <f>IF(Tabela1[[#This Row],[Total da Venda]]&gt;=10000,"VIP","NÃO VIP")</f>
        <v>NÃO VIP</v>
      </c>
    </row>
    <row r="125" spans="1:17" ht="15.75" customHeight="1" x14ac:dyDescent="0.25">
      <c r="A125" s="2">
        <v>45732</v>
      </c>
      <c r="B125" s="3">
        <v>3349</v>
      </c>
      <c r="C125" s="4" t="s">
        <v>167</v>
      </c>
      <c r="D125" s="4" t="s">
        <v>16</v>
      </c>
      <c r="E125" s="4" t="s">
        <v>9</v>
      </c>
      <c r="F125" s="4" t="s">
        <v>10</v>
      </c>
      <c r="G125" s="7">
        <v>8</v>
      </c>
      <c r="H125" s="11">
        <v>529.78</v>
      </c>
      <c r="I125" s="11">
        <f t="shared" si="10"/>
        <v>4238.24</v>
      </c>
      <c r="J125">
        <f t="shared" si="11"/>
        <v>2025</v>
      </c>
      <c r="K125">
        <f t="shared" si="12"/>
        <v>3</v>
      </c>
      <c r="L125">
        <f t="shared" si="13"/>
        <v>16</v>
      </c>
      <c r="M125">
        <f t="shared" si="14"/>
        <v>1</v>
      </c>
      <c r="N125" s="9">
        <f t="shared" si="15"/>
        <v>1695.296</v>
      </c>
      <c r="O125" s="9">
        <f t="shared" si="16"/>
        <v>423.82400000000001</v>
      </c>
      <c r="P125" t="str">
        <f t="shared" si="17"/>
        <v>2025_4</v>
      </c>
      <c r="Q125" t="str">
        <f>IF(Tabela1[[#This Row],[Total da Venda]]&gt;=10000,"VIP","NÃO VIP")</f>
        <v>NÃO VIP</v>
      </c>
    </row>
    <row r="126" spans="1:17" ht="15.75" customHeight="1" x14ac:dyDescent="0.25">
      <c r="A126" s="2">
        <v>45709</v>
      </c>
      <c r="B126" s="3">
        <v>2961</v>
      </c>
      <c r="C126" s="4" t="s">
        <v>168</v>
      </c>
      <c r="D126" s="4" t="s">
        <v>37</v>
      </c>
      <c r="E126" s="4" t="s">
        <v>13</v>
      </c>
      <c r="F126" s="4" t="s">
        <v>14</v>
      </c>
      <c r="G126" s="7">
        <v>10</v>
      </c>
      <c r="H126" s="11">
        <v>1869.88</v>
      </c>
      <c r="I126" s="11">
        <f t="shared" si="10"/>
        <v>18698.800000000003</v>
      </c>
      <c r="J126">
        <f t="shared" si="11"/>
        <v>2025</v>
      </c>
      <c r="K126">
        <f t="shared" si="12"/>
        <v>2</v>
      </c>
      <c r="L126">
        <f t="shared" si="13"/>
        <v>21</v>
      </c>
      <c r="M126">
        <f t="shared" si="14"/>
        <v>6</v>
      </c>
      <c r="N126" s="9">
        <f t="shared" si="15"/>
        <v>7479.5200000000013</v>
      </c>
      <c r="O126" s="9">
        <f t="shared" si="16"/>
        <v>1869.8800000000003</v>
      </c>
      <c r="P126" t="str">
        <f t="shared" si="17"/>
        <v>2025_3</v>
      </c>
      <c r="Q126" t="str">
        <f>IF(Tabela1[[#This Row],[Total da Venda]]&gt;=10000,"VIP","NÃO VIP")</f>
        <v>VIP</v>
      </c>
    </row>
    <row r="127" spans="1:17" ht="15.75" customHeight="1" x14ac:dyDescent="0.25">
      <c r="A127" s="2">
        <v>45786</v>
      </c>
      <c r="B127" s="3">
        <v>3360</v>
      </c>
      <c r="C127" s="4" t="s">
        <v>169</v>
      </c>
      <c r="D127" s="4" t="s">
        <v>37</v>
      </c>
      <c r="E127" s="4" t="s">
        <v>19</v>
      </c>
      <c r="F127" s="4" t="s">
        <v>20</v>
      </c>
      <c r="G127" s="7">
        <v>4</v>
      </c>
      <c r="H127" s="11">
        <v>2032.29</v>
      </c>
      <c r="I127" s="11">
        <f t="shared" si="10"/>
        <v>8129.16</v>
      </c>
      <c r="J127">
        <f t="shared" si="11"/>
        <v>2025</v>
      </c>
      <c r="K127">
        <f t="shared" si="12"/>
        <v>5</v>
      </c>
      <c r="L127">
        <f t="shared" si="13"/>
        <v>9</v>
      </c>
      <c r="M127">
        <f t="shared" si="14"/>
        <v>6</v>
      </c>
      <c r="N127" s="9">
        <f t="shared" si="15"/>
        <v>3251.6640000000002</v>
      </c>
      <c r="O127" s="9">
        <f t="shared" si="16"/>
        <v>812.91600000000005</v>
      </c>
      <c r="P127" t="str">
        <f t="shared" si="17"/>
        <v>2025_2</v>
      </c>
      <c r="Q127" t="str">
        <f>IF(Tabela1[[#This Row],[Total da Venda]]&gt;=10000,"VIP","NÃO VIP")</f>
        <v>NÃO VIP</v>
      </c>
    </row>
    <row r="128" spans="1:17" ht="15.75" customHeight="1" x14ac:dyDescent="0.25">
      <c r="A128" s="2">
        <v>45782</v>
      </c>
      <c r="B128" s="3">
        <v>4010</v>
      </c>
      <c r="C128" s="4" t="s">
        <v>170</v>
      </c>
      <c r="D128" s="4" t="s">
        <v>12</v>
      </c>
      <c r="E128" s="4" t="s">
        <v>40</v>
      </c>
      <c r="F128" s="4" t="s">
        <v>45</v>
      </c>
      <c r="G128" s="7">
        <v>8</v>
      </c>
      <c r="H128" s="11">
        <v>1872.52</v>
      </c>
      <c r="I128" s="11">
        <f t="shared" si="10"/>
        <v>14980.16</v>
      </c>
      <c r="J128">
        <f t="shared" si="11"/>
        <v>2025</v>
      </c>
      <c r="K128">
        <f t="shared" si="12"/>
        <v>5</v>
      </c>
      <c r="L128">
        <f t="shared" si="13"/>
        <v>5</v>
      </c>
      <c r="M128">
        <f t="shared" si="14"/>
        <v>2</v>
      </c>
      <c r="N128" s="9">
        <f t="shared" si="15"/>
        <v>5992.0640000000003</v>
      </c>
      <c r="O128" s="9">
        <f t="shared" si="16"/>
        <v>1498.0160000000001</v>
      </c>
      <c r="P128" t="str">
        <f t="shared" si="17"/>
        <v>2025_5</v>
      </c>
      <c r="Q128" t="str">
        <f>IF(Tabela1[[#This Row],[Total da Venda]]&gt;=10000,"VIP","NÃO VIP")</f>
        <v>VIP</v>
      </c>
    </row>
    <row r="129" spans="1:17" ht="15.75" customHeight="1" x14ac:dyDescent="0.25">
      <c r="A129" s="2">
        <v>45645</v>
      </c>
      <c r="B129" s="3">
        <v>5327</v>
      </c>
      <c r="C129" s="4" t="s">
        <v>171</v>
      </c>
      <c r="D129" s="4" t="s">
        <v>27</v>
      </c>
      <c r="E129" s="4" t="s">
        <v>40</v>
      </c>
      <c r="F129" s="4" t="s">
        <v>85</v>
      </c>
      <c r="G129" s="7">
        <v>3</v>
      </c>
      <c r="H129" s="11">
        <v>697.56</v>
      </c>
      <c r="I129" s="11">
        <f t="shared" si="10"/>
        <v>2092.6799999999998</v>
      </c>
      <c r="J129">
        <f t="shared" si="11"/>
        <v>2024</v>
      </c>
      <c r="K129">
        <f t="shared" si="12"/>
        <v>12</v>
      </c>
      <c r="L129">
        <f t="shared" si="13"/>
        <v>19</v>
      </c>
      <c r="M129">
        <f t="shared" si="14"/>
        <v>5</v>
      </c>
      <c r="N129" s="9">
        <f t="shared" si="15"/>
        <v>837.072</v>
      </c>
      <c r="O129" s="9">
        <f t="shared" si="16"/>
        <v>209.268</v>
      </c>
      <c r="P129" t="str">
        <f t="shared" si="17"/>
        <v>2025_5</v>
      </c>
      <c r="Q129" t="str">
        <f>IF(Tabela1[[#This Row],[Total da Venda]]&gt;=10000,"VIP","NÃO VIP")</f>
        <v>NÃO VIP</v>
      </c>
    </row>
    <row r="130" spans="1:17" ht="15.75" customHeight="1" x14ac:dyDescent="0.25">
      <c r="A130" s="2">
        <v>45744</v>
      </c>
      <c r="B130" s="3">
        <v>6186</v>
      </c>
      <c r="C130" s="4" t="s">
        <v>172</v>
      </c>
      <c r="D130" s="4" t="s">
        <v>12</v>
      </c>
      <c r="E130" s="4" t="s">
        <v>9</v>
      </c>
      <c r="F130" s="4" t="s">
        <v>25</v>
      </c>
      <c r="G130" s="7">
        <v>10</v>
      </c>
      <c r="H130" s="11">
        <v>1452.23</v>
      </c>
      <c r="I130" s="11">
        <f t="shared" si="10"/>
        <v>14522.3</v>
      </c>
      <c r="J130">
        <f t="shared" si="11"/>
        <v>2025</v>
      </c>
      <c r="K130">
        <f t="shared" si="12"/>
        <v>3</v>
      </c>
      <c r="L130">
        <f t="shared" si="13"/>
        <v>28</v>
      </c>
      <c r="M130">
        <f t="shared" si="14"/>
        <v>6</v>
      </c>
      <c r="N130" s="9">
        <f t="shared" si="15"/>
        <v>5808.92</v>
      </c>
      <c r="O130" s="9">
        <f t="shared" si="16"/>
        <v>1452.23</v>
      </c>
      <c r="P130" t="str">
        <f t="shared" ref="P130:P161" si="18">CONCATENATE(J129,"_",K129)</f>
        <v>2024_12</v>
      </c>
      <c r="Q130" t="str">
        <f>IF(Tabela1[[#This Row],[Total da Venda]]&gt;=10000,"VIP","NÃO VIP")</f>
        <v>VIP</v>
      </c>
    </row>
    <row r="131" spans="1:17" ht="15.75" customHeight="1" x14ac:dyDescent="0.25">
      <c r="A131" s="2">
        <v>45796</v>
      </c>
      <c r="B131" s="3">
        <v>5556</v>
      </c>
      <c r="C131" s="4" t="s">
        <v>173</v>
      </c>
      <c r="D131" s="4" t="s">
        <v>37</v>
      </c>
      <c r="E131" s="4" t="s">
        <v>52</v>
      </c>
      <c r="F131" s="4" t="s">
        <v>82</v>
      </c>
      <c r="G131" s="7">
        <v>9</v>
      </c>
      <c r="H131" s="11">
        <v>589.41999999999996</v>
      </c>
      <c r="I131" s="11">
        <f t="shared" ref="I131:I194" si="19">G131*H131</f>
        <v>5304.78</v>
      </c>
      <c r="J131">
        <f t="shared" ref="J131:J194" si="20">YEAR(A131)</f>
        <v>2025</v>
      </c>
      <c r="K131">
        <f t="shared" ref="K131:K194" si="21">MONTH(A131)</f>
        <v>5</v>
      </c>
      <c r="L131">
        <f t="shared" ref="L131:L194" si="22">DAY(A131)</f>
        <v>19</v>
      </c>
      <c r="M131">
        <f t="shared" ref="M131:M194" si="23">WEEKDAY(A131)</f>
        <v>2</v>
      </c>
      <c r="N131" s="9">
        <f t="shared" ref="N131:N194" si="24">I131*0.4</f>
        <v>2121.9119999999998</v>
      </c>
      <c r="O131" s="9">
        <f t="shared" ref="O131:O194" si="25">I131*0.1</f>
        <v>530.47799999999995</v>
      </c>
      <c r="P131" t="str">
        <f t="shared" si="18"/>
        <v>2025_3</v>
      </c>
      <c r="Q131" t="str">
        <f>IF(Tabela1[[#This Row],[Total da Venda]]&gt;=10000,"VIP","NÃO VIP")</f>
        <v>NÃO VIP</v>
      </c>
    </row>
    <row r="132" spans="1:17" ht="15.75" customHeight="1" x14ac:dyDescent="0.25">
      <c r="A132" s="2">
        <v>45708</v>
      </c>
      <c r="B132" s="3">
        <v>3774</v>
      </c>
      <c r="C132" s="4" t="s">
        <v>174</v>
      </c>
      <c r="D132" s="4" t="s">
        <v>63</v>
      </c>
      <c r="E132" s="4" t="s">
        <v>52</v>
      </c>
      <c r="F132" s="4" t="s">
        <v>66</v>
      </c>
      <c r="G132" s="7">
        <v>1</v>
      </c>
      <c r="H132" s="11">
        <v>791.68</v>
      </c>
      <c r="I132" s="11">
        <f t="shared" si="19"/>
        <v>791.68</v>
      </c>
      <c r="J132">
        <f t="shared" si="20"/>
        <v>2025</v>
      </c>
      <c r="K132">
        <f t="shared" si="21"/>
        <v>2</v>
      </c>
      <c r="L132">
        <f t="shared" si="22"/>
        <v>20</v>
      </c>
      <c r="M132">
        <f t="shared" si="23"/>
        <v>5</v>
      </c>
      <c r="N132" s="9">
        <f t="shared" si="24"/>
        <v>316.67200000000003</v>
      </c>
      <c r="O132" s="9">
        <f t="shared" si="25"/>
        <v>79.168000000000006</v>
      </c>
      <c r="P132" t="str">
        <f t="shared" si="18"/>
        <v>2025_5</v>
      </c>
      <c r="Q132" t="str">
        <f>IF(Tabela1[[#This Row],[Total da Venda]]&gt;=10000,"VIP","NÃO VIP")</f>
        <v>NÃO VIP</v>
      </c>
    </row>
    <row r="133" spans="1:17" ht="15.75" customHeight="1" x14ac:dyDescent="0.25">
      <c r="A133" s="2">
        <v>45747</v>
      </c>
      <c r="B133" s="3">
        <v>4450</v>
      </c>
      <c r="C133" s="4" t="s">
        <v>175</v>
      </c>
      <c r="D133" s="4" t="s">
        <v>16</v>
      </c>
      <c r="E133" s="4" t="s">
        <v>13</v>
      </c>
      <c r="F133" s="4" t="s">
        <v>14</v>
      </c>
      <c r="G133" s="7">
        <v>7</v>
      </c>
      <c r="H133" s="11">
        <v>1682.66</v>
      </c>
      <c r="I133" s="11">
        <f t="shared" si="19"/>
        <v>11778.62</v>
      </c>
      <c r="J133">
        <f t="shared" si="20"/>
        <v>2025</v>
      </c>
      <c r="K133">
        <f t="shared" si="21"/>
        <v>3</v>
      </c>
      <c r="L133">
        <f t="shared" si="22"/>
        <v>31</v>
      </c>
      <c r="M133">
        <f t="shared" si="23"/>
        <v>2</v>
      </c>
      <c r="N133" s="9">
        <f t="shared" si="24"/>
        <v>4711.4480000000003</v>
      </c>
      <c r="O133" s="9">
        <f t="shared" si="25"/>
        <v>1177.8620000000001</v>
      </c>
      <c r="P133" t="str">
        <f t="shared" si="18"/>
        <v>2025_2</v>
      </c>
      <c r="Q133" t="str">
        <f>IF(Tabela1[[#This Row],[Total da Venda]]&gt;=10000,"VIP","NÃO VIP")</f>
        <v>VIP</v>
      </c>
    </row>
    <row r="134" spans="1:17" ht="15.75" customHeight="1" x14ac:dyDescent="0.25">
      <c r="A134" s="2">
        <v>45645</v>
      </c>
      <c r="B134" s="3">
        <v>3110</v>
      </c>
      <c r="C134" s="4" t="s">
        <v>176</v>
      </c>
      <c r="D134" s="4" t="s">
        <v>16</v>
      </c>
      <c r="E134" s="4" t="s">
        <v>9</v>
      </c>
      <c r="F134" s="4" t="s">
        <v>25</v>
      </c>
      <c r="G134" s="7">
        <v>10</v>
      </c>
      <c r="H134" s="11">
        <v>1507.34</v>
      </c>
      <c r="I134" s="11">
        <f t="shared" si="19"/>
        <v>15073.4</v>
      </c>
      <c r="J134">
        <f t="shared" si="20"/>
        <v>2024</v>
      </c>
      <c r="K134">
        <f t="shared" si="21"/>
        <v>12</v>
      </c>
      <c r="L134">
        <f t="shared" si="22"/>
        <v>19</v>
      </c>
      <c r="M134">
        <f t="shared" si="23"/>
        <v>5</v>
      </c>
      <c r="N134" s="9">
        <f t="shared" si="24"/>
        <v>6029.3600000000006</v>
      </c>
      <c r="O134" s="9">
        <f t="shared" si="25"/>
        <v>1507.3400000000001</v>
      </c>
      <c r="P134" t="str">
        <f t="shared" si="18"/>
        <v>2025_3</v>
      </c>
      <c r="Q134" t="str">
        <f>IF(Tabela1[[#This Row],[Total da Venda]]&gt;=10000,"VIP","NÃO VIP")</f>
        <v>VIP</v>
      </c>
    </row>
    <row r="135" spans="1:17" ht="15.75" customHeight="1" x14ac:dyDescent="0.25">
      <c r="A135" s="2">
        <v>45681</v>
      </c>
      <c r="B135" s="3">
        <v>5571</v>
      </c>
      <c r="C135" s="4" t="s">
        <v>177</v>
      </c>
      <c r="D135" s="4" t="s">
        <v>8</v>
      </c>
      <c r="E135" s="4" t="s">
        <v>40</v>
      </c>
      <c r="F135" s="4" t="s">
        <v>61</v>
      </c>
      <c r="G135" s="7">
        <v>9</v>
      </c>
      <c r="H135" s="11">
        <v>607.82000000000005</v>
      </c>
      <c r="I135" s="11">
        <f t="shared" si="19"/>
        <v>5470.38</v>
      </c>
      <c r="J135">
        <f t="shared" si="20"/>
        <v>2025</v>
      </c>
      <c r="K135">
        <f t="shared" si="21"/>
        <v>1</v>
      </c>
      <c r="L135">
        <f t="shared" si="22"/>
        <v>24</v>
      </c>
      <c r="M135">
        <f t="shared" si="23"/>
        <v>6</v>
      </c>
      <c r="N135" s="9">
        <f t="shared" si="24"/>
        <v>2188.152</v>
      </c>
      <c r="O135" s="9">
        <f t="shared" si="25"/>
        <v>547.03800000000001</v>
      </c>
      <c r="P135" t="str">
        <f t="shared" si="18"/>
        <v>2024_12</v>
      </c>
      <c r="Q135" t="str">
        <f>IF(Tabela1[[#This Row],[Total da Venda]]&gt;=10000,"VIP","NÃO VIP")</f>
        <v>NÃO VIP</v>
      </c>
    </row>
    <row r="136" spans="1:17" ht="15.75" customHeight="1" x14ac:dyDescent="0.25">
      <c r="A136" s="2">
        <v>45734</v>
      </c>
      <c r="B136" s="3">
        <v>3463</v>
      </c>
      <c r="C136" s="4" t="s">
        <v>178</v>
      </c>
      <c r="D136" s="4" t="s">
        <v>12</v>
      </c>
      <c r="E136" s="4" t="s">
        <v>40</v>
      </c>
      <c r="F136" s="4" t="s">
        <v>70</v>
      </c>
      <c r="G136" s="7">
        <v>4</v>
      </c>
      <c r="H136" s="11">
        <v>22.36</v>
      </c>
      <c r="I136" s="11">
        <f t="shared" si="19"/>
        <v>89.44</v>
      </c>
      <c r="J136">
        <f t="shared" si="20"/>
        <v>2025</v>
      </c>
      <c r="K136">
        <f t="shared" si="21"/>
        <v>3</v>
      </c>
      <c r="L136">
        <f t="shared" si="22"/>
        <v>18</v>
      </c>
      <c r="M136">
        <f t="shared" si="23"/>
        <v>3</v>
      </c>
      <c r="N136" s="9">
        <f t="shared" si="24"/>
        <v>35.776000000000003</v>
      </c>
      <c r="O136" s="9">
        <f t="shared" si="25"/>
        <v>8.9440000000000008</v>
      </c>
      <c r="P136" t="str">
        <f t="shared" si="18"/>
        <v>2025_1</v>
      </c>
      <c r="Q136" t="str">
        <f>IF(Tabela1[[#This Row],[Total da Venda]]&gt;=10000,"VIP","NÃO VIP")</f>
        <v>NÃO VIP</v>
      </c>
    </row>
    <row r="137" spans="1:17" ht="15.75" customHeight="1" x14ac:dyDescent="0.25">
      <c r="A137" s="2">
        <v>45746</v>
      </c>
      <c r="B137" s="3">
        <v>3696</v>
      </c>
      <c r="C137" s="4" t="s">
        <v>179</v>
      </c>
      <c r="D137" s="4" t="s">
        <v>16</v>
      </c>
      <c r="E137" s="4" t="s">
        <v>52</v>
      </c>
      <c r="F137" s="4" t="s">
        <v>53</v>
      </c>
      <c r="G137" s="7">
        <v>1</v>
      </c>
      <c r="H137" s="11">
        <v>2660.26</v>
      </c>
      <c r="I137" s="11">
        <f t="shared" si="19"/>
        <v>2660.26</v>
      </c>
      <c r="J137">
        <f t="shared" si="20"/>
        <v>2025</v>
      </c>
      <c r="K137">
        <f t="shared" si="21"/>
        <v>3</v>
      </c>
      <c r="L137">
        <f t="shared" si="22"/>
        <v>30</v>
      </c>
      <c r="M137">
        <f t="shared" si="23"/>
        <v>1</v>
      </c>
      <c r="N137" s="9">
        <f t="shared" si="24"/>
        <v>1064.104</v>
      </c>
      <c r="O137" s="9">
        <f t="shared" si="25"/>
        <v>266.02600000000001</v>
      </c>
      <c r="P137" t="str">
        <f t="shared" si="18"/>
        <v>2025_3</v>
      </c>
      <c r="Q137" t="str">
        <f>IF(Tabela1[[#This Row],[Total da Venda]]&gt;=10000,"VIP","NÃO VIP")</f>
        <v>NÃO VIP</v>
      </c>
    </row>
    <row r="138" spans="1:17" ht="15.75" customHeight="1" x14ac:dyDescent="0.25">
      <c r="A138" s="2">
        <v>45731</v>
      </c>
      <c r="B138" s="3">
        <v>6151</v>
      </c>
      <c r="C138" s="4" t="s">
        <v>180</v>
      </c>
      <c r="D138" s="4" t="s">
        <v>16</v>
      </c>
      <c r="E138" s="4" t="s">
        <v>13</v>
      </c>
      <c r="F138" s="4" t="s">
        <v>17</v>
      </c>
      <c r="G138" s="7">
        <v>8</v>
      </c>
      <c r="H138" s="11">
        <v>2756.99</v>
      </c>
      <c r="I138" s="11">
        <f t="shared" si="19"/>
        <v>22055.919999999998</v>
      </c>
      <c r="J138">
        <f t="shared" si="20"/>
        <v>2025</v>
      </c>
      <c r="K138">
        <f t="shared" si="21"/>
        <v>3</v>
      </c>
      <c r="L138">
        <f t="shared" si="22"/>
        <v>15</v>
      </c>
      <c r="M138">
        <f t="shared" si="23"/>
        <v>7</v>
      </c>
      <c r="N138" s="9">
        <f t="shared" si="24"/>
        <v>8822.3680000000004</v>
      </c>
      <c r="O138" s="9">
        <f t="shared" si="25"/>
        <v>2205.5920000000001</v>
      </c>
      <c r="P138" t="str">
        <f t="shared" si="18"/>
        <v>2025_3</v>
      </c>
      <c r="Q138" t="str">
        <f>IF(Tabela1[[#This Row],[Total da Venda]]&gt;=10000,"VIP","NÃO VIP")</f>
        <v>VIP</v>
      </c>
    </row>
    <row r="139" spans="1:17" ht="15.75" customHeight="1" x14ac:dyDescent="0.25">
      <c r="A139" s="2">
        <v>45778</v>
      </c>
      <c r="B139" s="3">
        <v>2197</v>
      </c>
      <c r="C139" s="4" t="s">
        <v>181</v>
      </c>
      <c r="D139" s="4" t="s">
        <v>8</v>
      </c>
      <c r="E139" s="4" t="s">
        <v>52</v>
      </c>
      <c r="F139" s="4" t="s">
        <v>72</v>
      </c>
      <c r="G139" s="7">
        <v>1</v>
      </c>
      <c r="H139" s="11">
        <v>1350.68</v>
      </c>
      <c r="I139" s="11">
        <f t="shared" si="19"/>
        <v>1350.68</v>
      </c>
      <c r="J139">
        <f t="shared" si="20"/>
        <v>2025</v>
      </c>
      <c r="K139">
        <f t="shared" si="21"/>
        <v>5</v>
      </c>
      <c r="L139">
        <f t="shared" si="22"/>
        <v>1</v>
      </c>
      <c r="M139">
        <f t="shared" si="23"/>
        <v>5</v>
      </c>
      <c r="N139" s="9">
        <f t="shared" si="24"/>
        <v>540.27200000000005</v>
      </c>
      <c r="O139" s="9">
        <f t="shared" si="25"/>
        <v>135.06800000000001</v>
      </c>
      <c r="P139" t="str">
        <f t="shared" si="18"/>
        <v>2025_3</v>
      </c>
      <c r="Q139" t="str">
        <f>IF(Tabela1[[#This Row],[Total da Venda]]&gt;=10000,"VIP","NÃO VIP")</f>
        <v>NÃO VIP</v>
      </c>
    </row>
    <row r="140" spans="1:17" ht="15.75" customHeight="1" x14ac:dyDescent="0.25">
      <c r="A140" s="2">
        <v>45660</v>
      </c>
      <c r="B140" s="3">
        <v>8825</v>
      </c>
      <c r="C140" s="4" t="s">
        <v>182</v>
      </c>
      <c r="D140" s="4" t="s">
        <v>63</v>
      </c>
      <c r="E140" s="4" t="s">
        <v>9</v>
      </c>
      <c r="F140" s="4" t="s">
        <v>102</v>
      </c>
      <c r="G140" s="7">
        <v>7</v>
      </c>
      <c r="H140" s="11">
        <v>1498.73</v>
      </c>
      <c r="I140" s="11">
        <f t="shared" si="19"/>
        <v>10491.11</v>
      </c>
      <c r="J140">
        <f t="shared" si="20"/>
        <v>2025</v>
      </c>
      <c r="K140">
        <f t="shared" si="21"/>
        <v>1</v>
      </c>
      <c r="L140">
        <f t="shared" si="22"/>
        <v>3</v>
      </c>
      <c r="M140">
        <f t="shared" si="23"/>
        <v>6</v>
      </c>
      <c r="N140" s="9">
        <f t="shared" si="24"/>
        <v>4196.4440000000004</v>
      </c>
      <c r="O140" s="9">
        <f t="shared" si="25"/>
        <v>1049.1110000000001</v>
      </c>
      <c r="P140" t="str">
        <f t="shared" si="18"/>
        <v>2025_5</v>
      </c>
      <c r="Q140" t="str">
        <f>IF(Tabela1[[#This Row],[Total da Venda]]&gt;=10000,"VIP","NÃO VIP")</f>
        <v>VIP</v>
      </c>
    </row>
    <row r="141" spans="1:17" ht="15.75" customHeight="1" x14ac:dyDescent="0.25">
      <c r="A141" s="2">
        <v>45684</v>
      </c>
      <c r="B141" s="3">
        <v>8380</v>
      </c>
      <c r="C141" s="4" t="s">
        <v>183</v>
      </c>
      <c r="D141" s="4" t="s">
        <v>22</v>
      </c>
      <c r="E141" s="4" t="s">
        <v>52</v>
      </c>
      <c r="F141" s="4" t="s">
        <v>53</v>
      </c>
      <c r="G141" s="7">
        <v>5</v>
      </c>
      <c r="H141" s="11">
        <v>721.18</v>
      </c>
      <c r="I141" s="11">
        <f t="shared" si="19"/>
        <v>3605.8999999999996</v>
      </c>
      <c r="J141">
        <f t="shared" si="20"/>
        <v>2025</v>
      </c>
      <c r="K141">
        <f t="shared" si="21"/>
        <v>1</v>
      </c>
      <c r="L141">
        <f t="shared" si="22"/>
        <v>27</v>
      </c>
      <c r="M141">
        <f t="shared" si="23"/>
        <v>2</v>
      </c>
      <c r="N141" s="9">
        <f t="shared" si="24"/>
        <v>1442.36</v>
      </c>
      <c r="O141" s="9">
        <f t="shared" si="25"/>
        <v>360.59</v>
      </c>
      <c r="P141" t="str">
        <f t="shared" si="18"/>
        <v>2025_1</v>
      </c>
      <c r="Q141" t="str">
        <f>IF(Tabela1[[#This Row],[Total da Venda]]&gt;=10000,"VIP","NÃO VIP")</f>
        <v>NÃO VIP</v>
      </c>
    </row>
    <row r="142" spans="1:17" ht="15.75" customHeight="1" x14ac:dyDescent="0.25">
      <c r="A142" s="2">
        <v>45638</v>
      </c>
      <c r="B142" s="3">
        <v>3485</v>
      </c>
      <c r="C142" s="4" t="s">
        <v>184</v>
      </c>
      <c r="D142" s="4" t="s">
        <v>27</v>
      </c>
      <c r="E142" s="4" t="s">
        <v>9</v>
      </c>
      <c r="F142" s="4" t="s">
        <v>25</v>
      </c>
      <c r="G142" s="7">
        <v>2</v>
      </c>
      <c r="H142" s="11">
        <v>294.04000000000002</v>
      </c>
      <c r="I142" s="11">
        <f t="shared" si="19"/>
        <v>588.08000000000004</v>
      </c>
      <c r="J142">
        <f t="shared" si="20"/>
        <v>2024</v>
      </c>
      <c r="K142">
        <f t="shared" si="21"/>
        <v>12</v>
      </c>
      <c r="L142">
        <f t="shared" si="22"/>
        <v>12</v>
      </c>
      <c r="M142">
        <f t="shared" si="23"/>
        <v>5</v>
      </c>
      <c r="N142" s="9">
        <f t="shared" si="24"/>
        <v>235.23200000000003</v>
      </c>
      <c r="O142" s="9">
        <f t="shared" si="25"/>
        <v>58.808000000000007</v>
      </c>
      <c r="P142" t="str">
        <f t="shared" si="18"/>
        <v>2025_1</v>
      </c>
      <c r="Q142" t="str">
        <f>IF(Tabela1[[#This Row],[Total da Venda]]&gt;=10000,"VIP","NÃO VIP")</f>
        <v>NÃO VIP</v>
      </c>
    </row>
    <row r="143" spans="1:17" ht="15.75" customHeight="1" x14ac:dyDescent="0.25">
      <c r="A143" s="2">
        <v>45679</v>
      </c>
      <c r="B143" s="3">
        <v>1712</v>
      </c>
      <c r="C143" s="4" t="s">
        <v>185</v>
      </c>
      <c r="D143" s="4" t="s">
        <v>16</v>
      </c>
      <c r="E143" s="4" t="s">
        <v>9</v>
      </c>
      <c r="F143" s="4" t="s">
        <v>43</v>
      </c>
      <c r="G143" s="7">
        <v>7</v>
      </c>
      <c r="H143" s="11">
        <v>464.28</v>
      </c>
      <c r="I143" s="11">
        <f t="shared" si="19"/>
        <v>3249.96</v>
      </c>
      <c r="J143">
        <f t="shared" si="20"/>
        <v>2025</v>
      </c>
      <c r="K143">
        <f t="shared" si="21"/>
        <v>1</v>
      </c>
      <c r="L143">
        <f t="shared" si="22"/>
        <v>22</v>
      </c>
      <c r="M143">
        <f t="shared" si="23"/>
        <v>4</v>
      </c>
      <c r="N143" s="9">
        <f t="shared" si="24"/>
        <v>1299.9840000000002</v>
      </c>
      <c r="O143" s="9">
        <f t="shared" si="25"/>
        <v>324.99600000000004</v>
      </c>
      <c r="P143" t="str">
        <f t="shared" si="18"/>
        <v>2024_12</v>
      </c>
      <c r="Q143" t="str">
        <f>IF(Tabela1[[#This Row],[Total da Venda]]&gt;=10000,"VIP","NÃO VIP")</f>
        <v>NÃO VIP</v>
      </c>
    </row>
    <row r="144" spans="1:17" ht="15.75" customHeight="1" x14ac:dyDescent="0.25">
      <c r="A144" s="2">
        <v>45780</v>
      </c>
      <c r="B144" s="3">
        <v>4059</v>
      </c>
      <c r="C144" s="4" t="s">
        <v>186</v>
      </c>
      <c r="D144" s="4" t="s">
        <v>27</v>
      </c>
      <c r="E144" s="4" t="s">
        <v>9</v>
      </c>
      <c r="F144" s="4" t="s">
        <v>28</v>
      </c>
      <c r="G144" s="7">
        <v>10</v>
      </c>
      <c r="H144" s="11">
        <v>520.70000000000005</v>
      </c>
      <c r="I144" s="11">
        <f t="shared" si="19"/>
        <v>5207</v>
      </c>
      <c r="J144">
        <f t="shared" si="20"/>
        <v>2025</v>
      </c>
      <c r="K144">
        <f t="shared" si="21"/>
        <v>5</v>
      </c>
      <c r="L144">
        <f t="shared" si="22"/>
        <v>3</v>
      </c>
      <c r="M144">
        <f t="shared" si="23"/>
        <v>7</v>
      </c>
      <c r="N144" s="9">
        <f t="shared" si="24"/>
        <v>2082.8000000000002</v>
      </c>
      <c r="O144" s="9">
        <f t="shared" si="25"/>
        <v>520.70000000000005</v>
      </c>
      <c r="P144" t="str">
        <f t="shared" si="18"/>
        <v>2025_1</v>
      </c>
      <c r="Q144" t="str">
        <f>IF(Tabela1[[#This Row],[Total da Venda]]&gt;=10000,"VIP","NÃO VIP")</f>
        <v>NÃO VIP</v>
      </c>
    </row>
    <row r="145" spans="1:17" ht="15.75" customHeight="1" x14ac:dyDescent="0.25">
      <c r="A145" s="2">
        <v>45669</v>
      </c>
      <c r="B145" s="3">
        <v>9550</v>
      </c>
      <c r="C145" s="4" t="s">
        <v>187</v>
      </c>
      <c r="D145" s="4" t="s">
        <v>22</v>
      </c>
      <c r="E145" s="4" t="s">
        <v>13</v>
      </c>
      <c r="F145" s="4" t="s">
        <v>30</v>
      </c>
      <c r="G145" s="7">
        <v>4</v>
      </c>
      <c r="H145" s="11">
        <v>1520.8</v>
      </c>
      <c r="I145" s="11">
        <f t="shared" si="19"/>
        <v>6083.2</v>
      </c>
      <c r="J145">
        <f t="shared" si="20"/>
        <v>2025</v>
      </c>
      <c r="K145">
        <f t="shared" si="21"/>
        <v>1</v>
      </c>
      <c r="L145">
        <f t="shared" si="22"/>
        <v>12</v>
      </c>
      <c r="M145">
        <f t="shared" si="23"/>
        <v>1</v>
      </c>
      <c r="N145" s="9">
        <f t="shared" si="24"/>
        <v>2433.2800000000002</v>
      </c>
      <c r="O145" s="9">
        <f t="shared" si="25"/>
        <v>608.32000000000005</v>
      </c>
      <c r="P145" t="str">
        <f t="shared" si="18"/>
        <v>2025_5</v>
      </c>
      <c r="Q145" t="str">
        <f>IF(Tabela1[[#This Row],[Total da Venda]]&gt;=10000,"VIP","NÃO VIP")</f>
        <v>NÃO VIP</v>
      </c>
    </row>
    <row r="146" spans="1:17" ht="15.75" customHeight="1" x14ac:dyDescent="0.25">
      <c r="A146" s="2">
        <v>45759</v>
      </c>
      <c r="B146" s="3">
        <v>9365</v>
      </c>
      <c r="C146" s="4" t="s">
        <v>188</v>
      </c>
      <c r="D146" s="4" t="s">
        <v>8</v>
      </c>
      <c r="E146" s="4" t="s">
        <v>40</v>
      </c>
      <c r="F146" s="4" t="s">
        <v>70</v>
      </c>
      <c r="G146" s="7">
        <v>8</v>
      </c>
      <c r="H146" s="11">
        <v>976.21</v>
      </c>
      <c r="I146" s="11">
        <f t="shared" si="19"/>
        <v>7809.68</v>
      </c>
      <c r="J146">
        <f t="shared" si="20"/>
        <v>2025</v>
      </c>
      <c r="K146">
        <f t="shared" si="21"/>
        <v>4</v>
      </c>
      <c r="L146">
        <f t="shared" si="22"/>
        <v>12</v>
      </c>
      <c r="M146">
        <f t="shared" si="23"/>
        <v>7</v>
      </c>
      <c r="N146" s="9">
        <f t="shared" si="24"/>
        <v>3123.8720000000003</v>
      </c>
      <c r="O146" s="9">
        <f t="shared" si="25"/>
        <v>780.96800000000007</v>
      </c>
      <c r="P146" t="str">
        <f t="shared" si="18"/>
        <v>2025_1</v>
      </c>
      <c r="Q146" t="str">
        <f>IF(Tabela1[[#This Row],[Total da Venda]]&gt;=10000,"VIP","NÃO VIP")</f>
        <v>NÃO VIP</v>
      </c>
    </row>
    <row r="147" spans="1:17" ht="15.75" customHeight="1" x14ac:dyDescent="0.25">
      <c r="A147" s="2">
        <v>45668</v>
      </c>
      <c r="B147" s="3">
        <v>9652</v>
      </c>
      <c r="C147" s="4" t="s">
        <v>189</v>
      </c>
      <c r="D147" s="4" t="s">
        <v>8</v>
      </c>
      <c r="E147" s="4" t="s">
        <v>40</v>
      </c>
      <c r="F147" s="4" t="s">
        <v>61</v>
      </c>
      <c r="G147" s="7">
        <v>1</v>
      </c>
      <c r="H147" s="11">
        <v>1754.65</v>
      </c>
      <c r="I147" s="11">
        <f t="shared" si="19"/>
        <v>1754.65</v>
      </c>
      <c r="J147">
        <f t="shared" si="20"/>
        <v>2025</v>
      </c>
      <c r="K147">
        <f t="shared" si="21"/>
        <v>1</v>
      </c>
      <c r="L147">
        <f t="shared" si="22"/>
        <v>11</v>
      </c>
      <c r="M147">
        <f t="shared" si="23"/>
        <v>7</v>
      </c>
      <c r="N147" s="9">
        <f t="shared" si="24"/>
        <v>701.86000000000013</v>
      </c>
      <c r="O147" s="9">
        <f t="shared" si="25"/>
        <v>175.46500000000003</v>
      </c>
      <c r="P147" t="str">
        <f t="shared" si="18"/>
        <v>2025_4</v>
      </c>
      <c r="Q147" t="str">
        <f>IF(Tabela1[[#This Row],[Total da Venda]]&gt;=10000,"VIP","NÃO VIP")</f>
        <v>NÃO VIP</v>
      </c>
    </row>
    <row r="148" spans="1:17" ht="15.75" customHeight="1" x14ac:dyDescent="0.25">
      <c r="A148" s="2">
        <v>45741</v>
      </c>
      <c r="B148" s="3">
        <v>1619</v>
      </c>
      <c r="C148" s="4" t="s">
        <v>190</v>
      </c>
      <c r="D148" s="4" t="s">
        <v>63</v>
      </c>
      <c r="E148" s="4" t="s">
        <v>40</v>
      </c>
      <c r="F148" s="4" t="s">
        <v>41</v>
      </c>
      <c r="G148" s="7">
        <v>10</v>
      </c>
      <c r="H148" s="11">
        <v>1588.87</v>
      </c>
      <c r="I148" s="11">
        <f t="shared" si="19"/>
        <v>15888.699999999999</v>
      </c>
      <c r="J148">
        <f t="shared" si="20"/>
        <v>2025</v>
      </c>
      <c r="K148">
        <f t="shared" si="21"/>
        <v>3</v>
      </c>
      <c r="L148">
        <f t="shared" si="22"/>
        <v>25</v>
      </c>
      <c r="M148">
        <f t="shared" si="23"/>
        <v>3</v>
      </c>
      <c r="N148" s="9">
        <f t="shared" si="24"/>
        <v>6355.48</v>
      </c>
      <c r="O148" s="9">
        <f t="shared" si="25"/>
        <v>1588.87</v>
      </c>
      <c r="P148" t="str">
        <f t="shared" si="18"/>
        <v>2025_1</v>
      </c>
      <c r="Q148" t="str">
        <f>IF(Tabela1[[#This Row],[Total da Venda]]&gt;=10000,"VIP","NÃO VIP")</f>
        <v>VIP</v>
      </c>
    </row>
    <row r="149" spans="1:17" ht="15.75" customHeight="1" x14ac:dyDescent="0.25">
      <c r="A149" s="2">
        <v>45667</v>
      </c>
      <c r="B149" s="3">
        <v>5970</v>
      </c>
      <c r="C149" s="4" t="s">
        <v>191</v>
      </c>
      <c r="D149" s="4" t="s">
        <v>37</v>
      </c>
      <c r="E149" s="4" t="s">
        <v>19</v>
      </c>
      <c r="F149" s="4" t="s">
        <v>32</v>
      </c>
      <c r="G149" s="7">
        <v>2</v>
      </c>
      <c r="H149" s="11">
        <v>2631.91</v>
      </c>
      <c r="I149" s="11">
        <f t="shared" si="19"/>
        <v>5263.82</v>
      </c>
      <c r="J149">
        <f t="shared" si="20"/>
        <v>2025</v>
      </c>
      <c r="K149">
        <f t="shared" si="21"/>
        <v>1</v>
      </c>
      <c r="L149">
        <f t="shared" si="22"/>
        <v>10</v>
      </c>
      <c r="M149">
        <f t="shared" si="23"/>
        <v>6</v>
      </c>
      <c r="N149" s="9">
        <f t="shared" si="24"/>
        <v>2105.5279999999998</v>
      </c>
      <c r="O149" s="9">
        <f t="shared" si="25"/>
        <v>526.38199999999995</v>
      </c>
      <c r="P149" t="str">
        <f t="shared" si="18"/>
        <v>2025_3</v>
      </c>
      <c r="Q149" t="str">
        <f>IF(Tabela1[[#This Row],[Total da Venda]]&gt;=10000,"VIP","NÃO VIP")</f>
        <v>NÃO VIP</v>
      </c>
    </row>
    <row r="150" spans="1:17" ht="15.75" customHeight="1" x14ac:dyDescent="0.25">
      <c r="A150" s="2">
        <v>45772</v>
      </c>
      <c r="B150" s="3">
        <v>3831</v>
      </c>
      <c r="C150" s="4" t="s">
        <v>192</v>
      </c>
      <c r="D150" s="4" t="s">
        <v>63</v>
      </c>
      <c r="E150" s="4" t="s">
        <v>40</v>
      </c>
      <c r="F150" s="4" t="s">
        <v>61</v>
      </c>
      <c r="G150" s="7">
        <v>6</v>
      </c>
      <c r="H150" s="11">
        <v>2364.33</v>
      </c>
      <c r="I150" s="11">
        <f t="shared" si="19"/>
        <v>14185.98</v>
      </c>
      <c r="J150">
        <f t="shared" si="20"/>
        <v>2025</v>
      </c>
      <c r="K150">
        <f t="shared" si="21"/>
        <v>4</v>
      </c>
      <c r="L150">
        <f t="shared" si="22"/>
        <v>25</v>
      </c>
      <c r="M150">
        <f t="shared" si="23"/>
        <v>6</v>
      </c>
      <c r="N150" s="9">
        <f t="shared" si="24"/>
        <v>5674.3919999999998</v>
      </c>
      <c r="O150" s="9">
        <f t="shared" si="25"/>
        <v>1418.598</v>
      </c>
      <c r="P150" t="str">
        <f t="shared" si="18"/>
        <v>2025_1</v>
      </c>
      <c r="Q150" t="str">
        <f>IF(Tabela1[[#This Row],[Total da Venda]]&gt;=10000,"VIP","NÃO VIP")</f>
        <v>VIP</v>
      </c>
    </row>
    <row r="151" spans="1:17" ht="15.75" customHeight="1" x14ac:dyDescent="0.25">
      <c r="A151" s="2">
        <v>45684</v>
      </c>
      <c r="B151" s="3">
        <v>8894</v>
      </c>
      <c r="C151" s="4" t="s">
        <v>193</v>
      </c>
      <c r="D151" s="4" t="s">
        <v>22</v>
      </c>
      <c r="E151" s="4" t="s">
        <v>40</v>
      </c>
      <c r="F151" s="4" t="s">
        <v>70</v>
      </c>
      <c r="G151" s="7">
        <v>9</v>
      </c>
      <c r="H151" s="11">
        <v>341.75</v>
      </c>
      <c r="I151" s="11">
        <f t="shared" si="19"/>
        <v>3075.75</v>
      </c>
      <c r="J151">
        <f t="shared" si="20"/>
        <v>2025</v>
      </c>
      <c r="K151">
        <f t="shared" si="21"/>
        <v>1</v>
      </c>
      <c r="L151">
        <f t="shared" si="22"/>
        <v>27</v>
      </c>
      <c r="M151">
        <f t="shared" si="23"/>
        <v>2</v>
      </c>
      <c r="N151" s="9">
        <f t="shared" si="24"/>
        <v>1230.3000000000002</v>
      </c>
      <c r="O151" s="9">
        <f t="shared" si="25"/>
        <v>307.57500000000005</v>
      </c>
      <c r="P151" t="str">
        <f t="shared" si="18"/>
        <v>2025_4</v>
      </c>
      <c r="Q151" t="str">
        <f>IF(Tabela1[[#This Row],[Total da Venda]]&gt;=10000,"VIP","NÃO VIP")</f>
        <v>NÃO VIP</v>
      </c>
    </row>
    <row r="152" spans="1:17" ht="15.75" customHeight="1" x14ac:dyDescent="0.25">
      <c r="A152" s="2">
        <v>45784</v>
      </c>
      <c r="B152" s="3">
        <v>2199</v>
      </c>
      <c r="C152" s="4" t="s">
        <v>194</v>
      </c>
      <c r="D152" s="4" t="s">
        <v>16</v>
      </c>
      <c r="E152" s="4" t="s">
        <v>19</v>
      </c>
      <c r="F152" s="4" t="s">
        <v>20</v>
      </c>
      <c r="G152" s="7">
        <v>3</v>
      </c>
      <c r="H152" s="11">
        <v>2105.64</v>
      </c>
      <c r="I152" s="11">
        <f t="shared" si="19"/>
        <v>6316.92</v>
      </c>
      <c r="J152">
        <f t="shared" si="20"/>
        <v>2025</v>
      </c>
      <c r="K152">
        <f t="shared" si="21"/>
        <v>5</v>
      </c>
      <c r="L152">
        <f t="shared" si="22"/>
        <v>7</v>
      </c>
      <c r="M152">
        <f t="shared" si="23"/>
        <v>4</v>
      </c>
      <c r="N152" s="9">
        <f t="shared" si="24"/>
        <v>2526.768</v>
      </c>
      <c r="O152" s="9">
        <f t="shared" si="25"/>
        <v>631.69200000000001</v>
      </c>
      <c r="P152" t="str">
        <f t="shared" si="18"/>
        <v>2025_1</v>
      </c>
      <c r="Q152" t="str">
        <f>IF(Tabela1[[#This Row],[Total da Venda]]&gt;=10000,"VIP","NÃO VIP")</f>
        <v>NÃO VIP</v>
      </c>
    </row>
    <row r="153" spans="1:17" ht="15.75" customHeight="1" x14ac:dyDescent="0.25">
      <c r="A153" s="2">
        <v>45771</v>
      </c>
      <c r="B153" s="3">
        <v>5200</v>
      </c>
      <c r="C153" s="4" t="s">
        <v>195</v>
      </c>
      <c r="D153" s="4" t="s">
        <v>63</v>
      </c>
      <c r="E153" s="4" t="s">
        <v>52</v>
      </c>
      <c r="F153" s="4" t="s">
        <v>53</v>
      </c>
      <c r="G153" s="7">
        <v>2</v>
      </c>
      <c r="H153" s="11">
        <v>2146.1</v>
      </c>
      <c r="I153" s="11">
        <f t="shared" si="19"/>
        <v>4292.2</v>
      </c>
      <c r="J153">
        <f t="shared" si="20"/>
        <v>2025</v>
      </c>
      <c r="K153">
        <f t="shared" si="21"/>
        <v>4</v>
      </c>
      <c r="L153">
        <f t="shared" si="22"/>
        <v>24</v>
      </c>
      <c r="M153">
        <f t="shared" si="23"/>
        <v>5</v>
      </c>
      <c r="N153" s="9">
        <f t="shared" si="24"/>
        <v>1716.88</v>
      </c>
      <c r="O153" s="9">
        <f t="shared" si="25"/>
        <v>429.22</v>
      </c>
      <c r="P153" t="str">
        <f t="shared" si="18"/>
        <v>2025_5</v>
      </c>
      <c r="Q153" t="str">
        <f>IF(Tabela1[[#This Row],[Total da Venda]]&gt;=10000,"VIP","NÃO VIP")</f>
        <v>NÃO VIP</v>
      </c>
    </row>
    <row r="154" spans="1:17" ht="15.75" customHeight="1" x14ac:dyDescent="0.25">
      <c r="A154" s="2">
        <v>45656</v>
      </c>
      <c r="B154" s="3">
        <v>1087</v>
      </c>
      <c r="C154" s="4" t="s">
        <v>196</v>
      </c>
      <c r="D154" s="4" t="s">
        <v>12</v>
      </c>
      <c r="E154" s="4" t="s">
        <v>52</v>
      </c>
      <c r="F154" s="4" t="s">
        <v>66</v>
      </c>
      <c r="G154" s="7">
        <v>1</v>
      </c>
      <c r="H154" s="11">
        <v>2319.21</v>
      </c>
      <c r="I154" s="11">
        <f t="shared" si="19"/>
        <v>2319.21</v>
      </c>
      <c r="J154">
        <f t="shared" si="20"/>
        <v>2024</v>
      </c>
      <c r="K154">
        <f t="shared" si="21"/>
        <v>12</v>
      </c>
      <c r="L154">
        <f t="shared" si="22"/>
        <v>30</v>
      </c>
      <c r="M154">
        <f t="shared" si="23"/>
        <v>2</v>
      </c>
      <c r="N154" s="9">
        <f t="shared" si="24"/>
        <v>927.68400000000008</v>
      </c>
      <c r="O154" s="9">
        <f t="shared" si="25"/>
        <v>231.92100000000002</v>
      </c>
      <c r="P154" t="str">
        <f t="shared" si="18"/>
        <v>2025_4</v>
      </c>
      <c r="Q154" t="str">
        <f>IF(Tabela1[[#This Row],[Total da Venda]]&gt;=10000,"VIP","NÃO VIP")</f>
        <v>NÃO VIP</v>
      </c>
    </row>
    <row r="155" spans="1:17" ht="15.75" customHeight="1" x14ac:dyDescent="0.25">
      <c r="A155" s="2">
        <v>45771</v>
      </c>
      <c r="B155" s="3">
        <v>4340</v>
      </c>
      <c r="C155" s="4" t="s">
        <v>197</v>
      </c>
      <c r="D155" s="4" t="s">
        <v>16</v>
      </c>
      <c r="E155" s="4" t="s">
        <v>19</v>
      </c>
      <c r="F155" s="4" t="s">
        <v>23</v>
      </c>
      <c r="G155" s="7">
        <v>8</v>
      </c>
      <c r="H155" s="11">
        <v>2772.87</v>
      </c>
      <c r="I155" s="11">
        <f t="shared" si="19"/>
        <v>22182.959999999999</v>
      </c>
      <c r="J155">
        <f t="shared" si="20"/>
        <v>2025</v>
      </c>
      <c r="K155">
        <f t="shared" si="21"/>
        <v>4</v>
      </c>
      <c r="L155">
        <f t="shared" si="22"/>
        <v>24</v>
      </c>
      <c r="M155">
        <f t="shared" si="23"/>
        <v>5</v>
      </c>
      <c r="N155" s="9">
        <f t="shared" si="24"/>
        <v>8873.1839999999993</v>
      </c>
      <c r="O155" s="9">
        <f t="shared" si="25"/>
        <v>2218.2959999999998</v>
      </c>
      <c r="P155" t="str">
        <f t="shared" si="18"/>
        <v>2024_12</v>
      </c>
      <c r="Q155" t="str">
        <f>IF(Tabela1[[#This Row],[Total da Venda]]&gt;=10000,"VIP","NÃO VIP")</f>
        <v>VIP</v>
      </c>
    </row>
    <row r="156" spans="1:17" ht="15.75" customHeight="1" x14ac:dyDescent="0.25">
      <c r="A156" s="2">
        <v>45787</v>
      </c>
      <c r="B156" s="3">
        <v>6399</v>
      </c>
      <c r="C156" s="4" t="s">
        <v>198</v>
      </c>
      <c r="D156" s="4" t="s">
        <v>22</v>
      </c>
      <c r="E156" s="4" t="s">
        <v>13</v>
      </c>
      <c r="F156" s="4" t="s">
        <v>17</v>
      </c>
      <c r="G156" s="7">
        <v>6</v>
      </c>
      <c r="H156" s="11">
        <v>523.59</v>
      </c>
      <c r="I156" s="11">
        <f t="shared" si="19"/>
        <v>3141.54</v>
      </c>
      <c r="J156">
        <f t="shared" si="20"/>
        <v>2025</v>
      </c>
      <c r="K156">
        <f t="shared" si="21"/>
        <v>5</v>
      </c>
      <c r="L156">
        <f t="shared" si="22"/>
        <v>10</v>
      </c>
      <c r="M156">
        <f t="shared" si="23"/>
        <v>7</v>
      </c>
      <c r="N156" s="9">
        <f t="shared" si="24"/>
        <v>1256.616</v>
      </c>
      <c r="O156" s="9">
        <f t="shared" si="25"/>
        <v>314.154</v>
      </c>
      <c r="P156" t="str">
        <f t="shared" si="18"/>
        <v>2025_4</v>
      </c>
      <c r="Q156" t="str">
        <f>IF(Tabela1[[#This Row],[Total da Venda]]&gt;=10000,"VIP","NÃO VIP")</f>
        <v>NÃO VIP</v>
      </c>
    </row>
    <row r="157" spans="1:17" ht="15.75" customHeight="1" x14ac:dyDescent="0.25">
      <c r="A157" s="2">
        <v>45682</v>
      </c>
      <c r="B157" s="3">
        <v>5784</v>
      </c>
      <c r="C157" s="4" t="s">
        <v>199</v>
      </c>
      <c r="D157" s="4" t="s">
        <v>8</v>
      </c>
      <c r="E157" s="4" t="s">
        <v>40</v>
      </c>
      <c r="F157" s="4" t="s">
        <v>70</v>
      </c>
      <c r="G157" s="7">
        <v>8</v>
      </c>
      <c r="H157" s="11">
        <v>2378.06</v>
      </c>
      <c r="I157" s="11">
        <f t="shared" si="19"/>
        <v>19024.48</v>
      </c>
      <c r="J157">
        <f t="shared" si="20"/>
        <v>2025</v>
      </c>
      <c r="K157">
        <f t="shared" si="21"/>
        <v>1</v>
      </c>
      <c r="L157">
        <f t="shared" si="22"/>
        <v>25</v>
      </c>
      <c r="M157">
        <f t="shared" si="23"/>
        <v>7</v>
      </c>
      <c r="N157" s="9">
        <f t="shared" si="24"/>
        <v>7609.7920000000004</v>
      </c>
      <c r="O157" s="9">
        <f t="shared" si="25"/>
        <v>1902.4480000000001</v>
      </c>
      <c r="P157" t="str">
        <f t="shared" si="18"/>
        <v>2025_5</v>
      </c>
      <c r="Q157" t="str">
        <f>IF(Tabela1[[#This Row],[Total da Venda]]&gt;=10000,"VIP","NÃO VIP")</f>
        <v>VIP</v>
      </c>
    </row>
    <row r="158" spans="1:17" ht="15.75" customHeight="1" x14ac:dyDescent="0.25">
      <c r="A158" s="2">
        <v>45709</v>
      </c>
      <c r="B158" s="3">
        <v>5293</v>
      </c>
      <c r="C158" s="4" t="s">
        <v>200</v>
      </c>
      <c r="D158" s="4" t="s">
        <v>12</v>
      </c>
      <c r="E158" s="4" t="s">
        <v>40</v>
      </c>
      <c r="F158" s="4" t="s">
        <v>61</v>
      </c>
      <c r="G158" s="7">
        <v>5</v>
      </c>
      <c r="H158" s="11">
        <v>182.58</v>
      </c>
      <c r="I158" s="11">
        <f t="shared" si="19"/>
        <v>912.90000000000009</v>
      </c>
      <c r="J158">
        <f t="shared" si="20"/>
        <v>2025</v>
      </c>
      <c r="K158">
        <f t="shared" si="21"/>
        <v>2</v>
      </c>
      <c r="L158">
        <f t="shared" si="22"/>
        <v>21</v>
      </c>
      <c r="M158">
        <f t="shared" si="23"/>
        <v>6</v>
      </c>
      <c r="N158" s="9">
        <f t="shared" si="24"/>
        <v>365.16000000000008</v>
      </c>
      <c r="O158" s="9">
        <f t="shared" si="25"/>
        <v>91.29000000000002</v>
      </c>
      <c r="P158" t="str">
        <f t="shared" si="18"/>
        <v>2025_1</v>
      </c>
      <c r="Q158" t="str">
        <f>IF(Tabela1[[#This Row],[Total da Venda]]&gt;=10000,"VIP","NÃO VIP")</f>
        <v>NÃO VIP</v>
      </c>
    </row>
    <row r="159" spans="1:17" ht="15.75" customHeight="1" x14ac:dyDescent="0.25">
      <c r="A159" s="2">
        <v>45703</v>
      </c>
      <c r="B159" s="3">
        <v>9898</v>
      </c>
      <c r="C159" s="4" t="s">
        <v>201</v>
      </c>
      <c r="D159" s="4" t="s">
        <v>27</v>
      </c>
      <c r="E159" s="4" t="s">
        <v>13</v>
      </c>
      <c r="F159" s="4" t="s">
        <v>14</v>
      </c>
      <c r="G159" s="7">
        <v>9</v>
      </c>
      <c r="H159" s="11">
        <v>2905.37</v>
      </c>
      <c r="I159" s="11">
        <f t="shared" si="19"/>
        <v>26148.329999999998</v>
      </c>
      <c r="J159">
        <f t="shared" si="20"/>
        <v>2025</v>
      </c>
      <c r="K159">
        <f t="shared" si="21"/>
        <v>2</v>
      </c>
      <c r="L159">
        <f t="shared" si="22"/>
        <v>15</v>
      </c>
      <c r="M159">
        <f t="shared" si="23"/>
        <v>7</v>
      </c>
      <c r="N159" s="9">
        <f t="shared" si="24"/>
        <v>10459.332</v>
      </c>
      <c r="O159" s="9">
        <f t="shared" si="25"/>
        <v>2614.8330000000001</v>
      </c>
      <c r="P159" t="str">
        <f t="shared" si="18"/>
        <v>2025_2</v>
      </c>
      <c r="Q159" t="str">
        <f>IF(Tabela1[[#This Row],[Total da Venda]]&gt;=10000,"VIP","NÃO VIP")</f>
        <v>VIP</v>
      </c>
    </row>
    <row r="160" spans="1:17" ht="15.75" customHeight="1" x14ac:dyDescent="0.25">
      <c r="A160" s="2">
        <v>45760</v>
      </c>
      <c r="B160" s="3">
        <v>5554</v>
      </c>
      <c r="C160" s="4" t="s">
        <v>202</v>
      </c>
      <c r="D160" s="4" t="s">
        <v>12</v>
      </c>
      <c r="E160" s="4" t="s">
        <v>52</v>
      </c>
      <c r="F160" s="4" t="s">
        <v>97</v>
      </c>
      <c r="G160" s="7">
        <v>3</v>
      </c>
      <c r="H160" s="11">
        <v>2495.1</v>
      </c>
      <c r="I160" s="11">
        <f t="shared" si="19"/>
        <v>7485.2999999999993</v>
      </c>
      <c r="J160">
        <f t="shared" si="20"/>
        <v>2025</v>
      </c>
      <c r="K160">
        <f t="shared" si="21"/>
        <v>4</v>
      </c>
      <c r="L160">
        <f t="shared" si="22"/>
        <v>13</v>
      </c>
      <c r="M160">
        <f t="shared" si="23"/>
        <v>1</v>
      </c>
      <c r="N160" s="9">
        <f t="shared" si="24"/>
        <v>2994.12</v>
      </c>
      <c r="O160" s="9">
        <f t="shared" si="25"/>
        <v>748.53</v>
      </c>
      <c r="P160" t="str">
        <f t="shared" si="18"/>
        <v>2025_2</v>
      </c>
      <c r="Q160" t="str">
        <f>IF(Tabela1[[#This Row],[Total da Venda]]&gt;=10000,"VIP","NÃO VIP")</f>
        <v>NÃO VIP</v>
      </c>
    </row>
    <row r="161" spans="1:17" ht="15.75" customHeight="1" x14ac:dyDescent="0.25">
      <c r="A161" s="2">
        <v>45651</v>
      </c>
      <c r="B161" s="3">
        <v>9471</v>
      </c>
      <c r="C161" s="4" t="s">
        <v>203</v>
      </c>
      <c r="D161" s="4" t="s">
        <v>12</v>
      </c>
      <c r="E161" s="4" t="s">
        <v>19</v>
      </c>
      <c r="F161" s="4" t="s">
        <v>75</v>
      </c>
      <c r="G161" s="7">
        <v>10</v>
      </c>
      <c r="H161" s="11">
        <v>984.74</v>
      </c>
      <c r="I161" s="11">
        <f t="shared" si="19"/>
        <v>9847.4</v>
      </c>
      <c r="J161">
        <f t="shared" si="20"/>
        <v>2024</v>
      </c>
      <c r="K161">
        <f t="shared" si="21"/>
        <v>12</v>
      </c>
      <c r="L161">
        <f t="shared" si="22"/>
        <v>25</v>
      </c>
      <c r="M161">
        <f t="shared" si="23"/>
        <v>4</v>
      </c>
      <c r="N161" s="9">
        <f t="shared" si="24"/>
        <v>3938.96</v>
      </c>
      <c r="O161" s="9">
        <f t="shared" si="25"/>
        <v>984.74</v>
      </c>
      <c r="P161" t="str">
        <f t="shared" si="18"/>
        <v>2025_4</v>
      </c>
      <c r="Q161" t="str">
        <f>IF(Tabela1[[#This Row],[Total da Venda]]&gt;=10000,"VIP","NÃO VIP")</f>
        <v>NÃO VIP</v>
      </c>
    </row>
    <row r="162" spans="1:17" ht="15.75" customHeight="1" x14ac:dyDescent="0.25">
      <c r="A162" s="2">
        <v>45778</v>
      </c>
      <c r="B162" s="3">
        <v>1960</v>
      </c>
      <c r="C162" s="4" t="s">
        <v>204</v>
      </c>
      <c r="D162" s="4" t="s">
        <v>37</v>
      </c>
      <c r="E162" s="4" t="s">
        <v>13</v>
      </c>
      <c r="F162" s="4" t="s">
        <v>17</v>
      </c>
      <c r="G162" s="7">
        <v>5</v>
      </c>
      <c r="H162" s="11">
        <v>220.11</v>
      </c>
      <c r="I162" s="11">
        <f t="shared" si="19"/>
        <v>1100.5500000000002</v>
      </c>
      <c r="J162">
        <f t="shared" si="20"/>
        <v>2025</v>
      </c>
      <c r="K162">
        <f t="shared" si="21"/>
        <v>5</v>
      </c>
      <c r="L162">
        <f t="shared" si="22"/>
        <v>1</v>
      </c>
      <c r="M162">
        <f t="shared" si="23"/>
        <v>5</v>
      </c>
      <c r="N162" s="9">
        <f t="shared" si="24"/>
        <v>440.22000000000008</v>
      </c>
      <c r="O162" s="9">
        <f t="shared" si="25"/>
        <v>110.05500000000002</v>
      </c>
      <c r="P162" t="str">
        <f t="shared" ref="P162:P193" si="26">CONCATENATE(J161,"_",K161)</f>
        <v>2024_12</v>
      </c>
      <c r="Q162" t="str">
        <f>IF(Tabela1[[#This Row],[Total da Venda]]&gt;=10000,"VIP","NÃO VIP")</f>
        <v>NÃO VIP</v>
      </c>
    </row>
    <row r="163" spans="1:17" ht="15.75" customHeight="1" x14ac:dyDescent="0.25">
      <c r="A163" s="2">
        <v>45760</v>
      </c>
      <c r="B163" s="3">
        <v>1639</v>
      </c>
      <c r="C163" s="4" t="s">
        <v>205</v>
      </c>
      <c r="D163" s="4" t="s">
        <v>63</v>
      </c>
      <c r="E163" s="4" t="s">
        <v>19</v>
      </c>
      <c r="F163" s="4" t="s">
        <v>75</v>
      </c>
      <c r="G163" s="7">
        <v>3</v>
      </c>
      <c r="H163" s="11">
        <v>1042.55</v>
      </c>
      <c r="I163" s="11">
        <f t="shared" si="19"/>
        <v>3127.6499999999996</v>
      </c>
      <c r="J163">
        <f t="shared" si="20"/>
        <v>2025</v>
      </c>
      <c r="K163">
        <f t="shared" si="21"/>
        <v>4</v>
      </c>
      <c r="L163">
        <f t="shared" si="22"/>
        <v>13</v>
      </c>
      <c r="M163">
        <f t="shared" si="23"/>
        <v>1</v>
      </c>
      <c r="N163" s="9">
        <f t="shared" si="24"/>
        <v>1251.06</v>
      </c>
      <c r="O163" s="9">
        <f t="shared" si="25"/>
        <v>312.76499999999999</v>
      </c>
      <c r="P163" t="str">
        <f t="shared" si="26"/>
        <v>2025_5</v>
      </c>
      <c r="Q163" t="str">
        <f>IF(Tabela1[[#This Row],[Total da Venda]]&gt;=10000,"VIP","NÃO VIP")</f>
        <v>NÃO VIP</v>
      </c>
    </row>
    <row r="164" spans="1:17" ht="15.75" customHeight="1" x14ac:dyDescent="0.25">
      <c r="A164" s="2">
        <v>45720</v>
      </c>
      <c r="B164" s="3">
        <v>5978</v>
      </c>
      <c r="C164" s="4" t="s">
        <v>206</v>
      </c>
      <c r="D164" s="4" t="s">
        <v>12</v>
      </c>
      <c r="E164" s="4" t="s">
        <v>9</v>
      </c>
      <c r="F164" s="4" t="s">
        <v>10</v>
      </c>
      <c r="G164" s="7">
        <v>10</v>
      </c>
      <c r="H164" s="11">
        <v>1674.7</v>
      </c>
      <c r="I164" s="11">
        <f t="shared" si="19"/>
        <v>16747</v>
      </c>
      <c r="J164">
        <f t="shared" si="20"/>
        <v>2025</v>
      </c>
      <c r="K164">
        <f t="shared" si="21"/>
        <v>3</v>
      </c>
      <c r="L164">
        <f t="shared" si="22"/>
        <v>4</v>
      </c>
      <c r="M164">
        <f t="shared" si="23"/>
        <v>3</v>
      </c>
      <c r="N164" s="9">
        <f t="shared" si="24"/>
        <v>6698.8</v>
      </c>
      <c r="O164" s="9">
        <f t="shared" si="25"/>
        <v>1674.7</v>
      </c>
      <c r="P164" t="str">
        <f t="shared" si="26"/>
        <v>2025_4</v>
      </c>
      <c r="Q164" t="str">
        <f>IF(Tabela1[[#This Row],[Total da Venda]]&gt;=10000,"VIP","NÃO VIP")</f>
        <v>VIP</v>
      </c>
    </row>
    <row r="165" spans="1:17" ht="15.75" customHeight="1" x14ac:dyDescent="0.25">
      <c r="A165" s="2">
        <v>45655</v>
      </c>
      <c r="B165" s="3">
        <v>6117</v>
      </c>
      <c r="C165" s="4" t="s">
        <v>207</v>
      </c>
      <c r="D165" s="4" t="s">
        <v>16</v>
      </c>
      <c r="E165" s="4" t="s">
        <v>13</v>
      </c>
      <c r="F165" s="4" t="s">
        <v>30</v>
      </c>
      <c r="G165" s="7">
        <v>6</v>
      </c>
      <c r="H165" s="11">
        <v>896.99</v>
      </c>
      <c r="I165" s="11">
        <f t="shared" si="19"/>
        <v>5381.9400000000005</v>
      </c>
      <c r="J165">
        <f t="shared" si="20"/>
        <v>2024</v>
      </c>
      <c r="K165">
        <f t="shared" si="21"/>
        <v>12</v>
      </c>
      <c r="L165">
        <f t="shared" si="22"/>
        <v>29</v>
      </c>
      <c r="M165">
        <f t="shared" si="23"/>
        <v>1</v>
      </c>
      <c r="N165" s="9">
        <f t="shared" si="24"/>
        <v>2152.7760000000003</v>
      </c>
      <c r="O165" s="9">
        <f t="shared" si="25"/>
        <v>538.19400000000007</v>
      </c>
      <c r="P165" t="str">
        <f t="shared" si="26"/>
        <v>2025_3</v>
      </c>
      <c r="Q165" t="str">
        <f>IF(Tabela1[[#This Row],[Total da Venda]]&gt;=10000,"VIP","NÃO VIP")</f>
        <v>NÃO VIP</v>
      </c>
    </row>
    <row r="166" spans="1:17" ht="15.75" customHeight="1" x14ac:dyDescent="0.25">
      <c r="A166" s="2">
        <v>45810</v>
      </c>
      <c r="B166" s="3">
        <v>2994</v>
      </c>
      <c r="C166" s="4" t="s">
        <v>208</v>
      </c>
      <c r="D166" s="4" t="s">
        <v>37</v>
      </c>
      <c r="E166" s="4" t="s">
        <v>52</v>
      </c>
      <c r="F166" s="4" t="s">
        <v>97</v>
      </c>
      <c r="G166" s="7">
        <v>8</v>
      </c>
      <c r="H166" s="11">
        <v>2263.35</v>
      </c>
      <c r="I166" s="11">
        <f t="shared" si="19"/>
        <v>18106.8</v>
      </c>
      <c r="J166">
        <f t="shared" si="20"/>
        <v>2025</v>
      </c>
      <c r="K166">
        <f t="shared" si="21"/>
        <v>6</v>
      </c>
      <c r="L166">
        <f t="shared" si="22"/>
        <v>2</v>
      </c>
      <c r="M166">
        <f t="shared" si="23"/>
        <v>2</v>
      </c>
      <c r="N166" s="9">
        <f t="shared" si="24"/>
        <v>7242.72</v>
      </c>
      <c r="O166" s="9">
        <f t="shared" si="25"/>
        <v>1810.68</v>
      </c>
      <c r="P166" t="str">
        <f t="shared" si="26"/>
        <v>2024_12</v>
      </c>
      <c r="Q166" t="str">
        <f>IF(Tabela1[[#This Row],[Total da Venda]]&gt;=10000,"VIP","NÃO VIP")</f>
        <v>VIP</v>
      </c>
    </row>
    <row r="167" spans="1:17" ht="15.75" customHeight="1" x14ac:dyDescent="0.25">
      <c r="A167" s="2">
        <v>45814</v>
      </c>
      <c r="B167" s="3">
        <v>2405</v>
      </c>
      <c r="C167" s="4" t="s">
        <v>209</v>
      </c>
      <c r="D167" s="4" t="s">
        <v>8</v>
      </c>
      <c r="E167" s="4" t="s">
        <v>52</v>
      </c>
      <c r="F167" s="4" t="s">
        <v>53</v>
      </c>
      <c r="G167" s="7">
        <v>8</v>
      </c>
      <c r="H167" s="11">
        <v>1072.44</v>
      </c>
      <c r="I167" s="11">
        <f t="shared" si="19"/>
        <v>8579.52</v>
      </c>
      <c r="J167">
        <f t="shared" si="20"/>
        <v>2025</v>
      </c>
      <c r="K167">
        <f t="shared" si="21"/>
        <v>6</v>
      </c>
      <c r="L167">
        <f t="shared" si="22"/>
        <v>6</v>
      </c>
      <c r="M167">
        <f t="shared" si="23"/>
        <v>6</v>
      </c>
      <c r="N167" s="9">
        <f t="shared" si="24"/>
        <v>3431.8080000000004</v>
      </c>
      <c r="O167" s="9">
        <f t="shared" si="25"/>
        <v>857.95200000000011</v>
      </c>
      <c r="P167" t="str">
        <f t="shared" si="26"/>
        <v>2025_6</v>
      </c>
      <c r="Q167" t="str">
        <f>IF(Tabela1[[#This Row],[Total da Venda]]&gt;=10000,"VIP","NÃO VIP")</f>
        <v>NÃO VIP</v>
      </c>
    </row>
    <row r="168" spans="1:17" ht="15.75" customHeight="1" x14ac:dyDescent="0.25">
      <c r="A168" s="2">
        <v>45700</v>
      </c>
      <c r="B168" s="3">
        <v>9128</v>
      </c>
      <c r="C168" s="4" t="s">
        <v>210</v>
      </c>
      <c r="D168" s="4" t="s">
        <v>12</v>
      </c>
      <c r="E168" s="4" t="s">
        <v>40</v>
      </c>
      <c r="F168" s="4" t="s">
        <v>45</v>
      </c>
      <c r="G168" s="7">
        <v>6</v>
      </c>
      <c r="H168" s="11">
        <v>892.65</v>
      </c>
      <c r="I168" s="11">
        <f t="shared" si="19"/>
        <v>5355.9</v>
      </c>
      <c r="J168">
        <f t="shared" si="20"/>
        <v>2025</v>
      </c>
      <c r="K168">
        <f t="shared" si="21"/>
        <v>2</v>
      </c>
      <c r="L168">
        <f t="shared" si="22"/>
        <v>12</v>
      </c>
      <c r="M168">
        <f t="shared" si="23"/>
        <v>4</v>
      </c>
      <c r="N168" s="9">
        <f t="shared" si="24"/>
        <v>2142.36</v>
      </c>
      <c r="O168" s="9">
        <f t="shared" si="25"/>
        <v>535.59</v>
      </c>
      <c r="P168" t="str">
        <f t="shared" si="26"/>
        <v>2025_6</v>
      </c>
      <c r="Q168" t="str">
        <f>IF(Tabela1[[#This Row],[Total da Venda]]&gt;=10000,"VIP","NÃO VIP")</f>
        <v>NÃO VIP</v>
      </c>
    </row>
    <row r="169" spans="1:17" ht="15.75" customHeight="1" x14ac:dyDescent="0.25">
      <c r="A169" s="2">
        <v>45647</v>
      </c>
      <c r="B169" s="3">
        <v>7030</v>
      </c>
      <c r="C169" s="4" t="s">
        <v>211</v>
      </c>
      <c r="D169" s="4" t="s">
        <v>8</v>
      </c>
      <c r="E169" s="4" t="s">
        <v>19</v>
      </c>
      <c r="F169" s="4" t="s">
        <v>20</v>
      </c>
      <c r="G169" s="7">
        <v>8</v>
      </c>
      <c r="H169" s="11">
        <v>1022.96</v>
      </c>
      <c r="I169" s="11">
        <f t="shared" si="19"/>
        <v>8183.68</v>
      </c>
      <c r="J169">
        <f t="shared" si="20"/>
        <v>2024</v>
      </c>
      <c r="K169">
        <f t="shared" si="21"/>
        <v>12</v>
      </c>
      <c r="L169">
        <f t="shared" si="22"/>
        <v>21</v>
      </c>
      <c r="M169">
        <f t="shared" si="23"/>
        <v>7</v>
      </c>
      <c r="N169" s="9">
        <f t="shared" si="24"/>
        <v>3273.4720000000002</v>
      </c>
      <c r="O169" s="9">
        <f t="shared" si="25"/>
        <v>818.36800000000005</v>
      </c>
      <c r="P169" t="str">
        <f t="shared" si="26"/>
        <v>2025_2</v>
      </c>
      <c r="Q169" t="str">
        <f>IF(Tabela1[[#This Row],[Total da Venda]]&gt;=10000,"VIP","NÃO VIP")</f>
        <v>NÃO VIP</v>
      </c>
    </row>
    <row r="170" spans="1:17" ht="15.75" customHeight="1" x14ac:dyDescent="0.25">
      <c r="A170" s="2">
        <v>45745</v>
      </c>
      <c r="B170" s="3">
        <v>3470</v>
      </c>
      <c r="C170" s="4" t="s">
        <v>212</v>
      </c>
      <c r="D170" s="4" t="s">
        <v>12</v>
      </c>
      <c r="E170" s="4" t="s">
        <v>13</v>
      </c>
      <c r="F170" s="4" t="s">
        <v>17</v>
      </c>
      <c r="G170" s="7">
        <v>5</v>
      </c>
      <c r="H170" s="11">
        <v>637.16999999999996</v>
      </c>
      <c r="I170" s="11">
        <f t="shared" si="19"/>
        <v>3185.85</v>
      </c>
      <c r="J170">
        <f t="shared" si="20"/>
        <v>2025</v>
      </c>
      <c r="K170">
        <f t="shared" si="21"/>
        <v>3</v>
      </c>
      <c r="L170">
        <f t="shared" si="22"/>
        <v>29</v>
      </c>
      <c r="M170">
        <f t="shared" si="23"/>
        <v>7</v>
      </c>
      <c r="N170" s="9">
        <f t="shared" si="24"/>
        <v>1274.3400000000001</v>
      </c>
      <c r="O170" s="9">
        <f t="shared" si="25"/>
        <v>318.58500000000004</v>
      </c>
      <c r="P170" t="str">
        <f t="shared" si="26"/>
        <v>2024_12</v>
      </c>
      <c r="Q170" t="str">
        <f>IF(Tabela1[[#This Row],[Total da Venda]]&gt;=10000,"VIP","NÃO VIP")</f>
        <v>NÃO VIP</v>
      </c>
    </row>
    <row r="171" spans="1:17" ht="15.75" customHeight="1" x14ac:dyDescent="0.25">
      <c r="A171" s="2">
        <v>45692</v>
      </c>
      <c r="B171" s="3">
        <v>6695</v>
      </c>
      <c r="C171" s="4" t="s">
        <v>159</v>
      </c>
      <c r="D171" s="4" t="s">
        <v>16</v>
      </c>
      <c r="E171" s="4" t="s">
        <v>40</v>
      </c>
      <c r="F171" s="4" t="s">
        <v>41</v>
      </c>
      <c r="G171" s="7">
        <v>4</v>
      </c>
      <c r="H171" s="11">
        <v>1182.29</v>
      </c>
      <c r="I171" s="11">
        <f t="shared" si="19"/>
        <v>4729.16</v>
      </c>
      <c r="J171">
        <f t="shared" si="20"/>
        <v>2025</v>
      </c>
      <c r="K171">
        <f t="shared" si="21"/>
        <v>2</v>
      </c>
      <c r="L171">
        <f t="shared" si="22"/>
        <v>4</v>
      </c>
      <c r="M171">
        <f t="shared" si="23"/>
        <v>3</v>
      </c>
      <c r="N171" s="9">
        <f t="shared" si="24"/>
        <v>1891.664</v>
      </c>
      <c r="O171" s="9">
        <f t="shared" si="25"/>
        <v>472.916</v>
      </c>
      <c r="P171" t="str">
        <f t="shared" si="26"/>
        <v>2025_3</v>
      </c>
      <c r="Q171" t="str">
        <f>IF(Tabela1[[#This Row],[Total da Venda]]&gt;=10000,"VIP","NÃO VIP")</f>
        <v>NÃO VIP</v>
      </c>
    </row>
    <row r="172" spans="1:17" ht="15.75" customHeight="1" x14ac:dyDescent="0.25">
      <c r="A172" s="2">
        <v>45676</v>
      </c>
      <c r="B172" s="3">
        <v>7831</v>
      </c>
      <c r="C172" s="4" t="s">
        <v>213</v>
      </c>
      <c r="D172" s="4" t="s">
        <v>22</v>
      </c>
      <c r="E172" s="4" t="s">
        <v>40</v>
      </c>
      <c r="F172" s="4" t="s">
        <v>85</v>
      </c>
      <c r="G172" s="7">
        <v>10</v>
      </c>
      <c r="H172" s="11">
        <v>2175.89</v>
      </c>
      <c r="I172" s="11">
        <f t="shared" si="19"/>
        <v>21758.899999999998</v>
      </c>
      <c r="J172">
        <f t="shared" si="20"/>
        <v>2025</v>
      </c>
      <c r="K172">
        <f t="shared" si="21"/>
        <v>1</v>
      </c>
      <c r="L172">
        <f t="shared" si="22"/>
        <v>19</v>
      </c>
      <c r="M172">
        <f t="shared" si="23"/>
        <v>1</v>
      </c>
      <c r="N172" s="9">
        <f t="shared" si="24"/>
        <v>8703.56</v>
      </c>
      <c r="O172" s="9">
        <f t="shared" si="25"/>
        <v>2175.89</v>
      </c>
      <c r="P172" t="str">
        <f t="shared" si="26"/>
        <v>2025_2</v>
      </c>
      <c r="Q172" t="str">
        <f>IF(Tabela1[[#This Row],[Total da Venda]]&gt;=10000,"VIP","NÃO VIP")</f>
        <v>VIP</v>
      </c>
    </row>
    <row r="173" spans="1:17" ht="15.75" customHeight="1" x14ac:dyDescent="0.25">
      <c r="A173" s="2">
        <v>45752</v>
      </c>
      <c r="B173" s="3">
        <v>2219</v>
      </c>
      <c r="C173" s="4" t="s">
        <v>214</v>
      </c>
      <c r="D173" s="4" t="s">
        <v>22</v>
      </c>
      <c r="E173" s="4" t="s">
        <v>13</v>
      </c>
      <c r="F173" s="4" t="s">
        <v>14</v>
      </c>
      <c r="G173" s="7">
        <v>5</v>
      </c>
      <c r="H173" s="11">
        <v>2426.59</v>
      </c>
      <c r="I173" s="11">
        <f t="shared" si="19"/>
        <v>12132.95</v>
      </c>
      <c r="J173">
        <f t="shared" si="20"/>
        <v>2025</v>
      </c>
      <c r="K173">
        <f t="shared" si="21"/>
        <v>4</v>
      </c>
      <c r="L173">
        <f t="shared" si="22"/>
        <v>5</v>
      </c>
      <c r="M173">
        <f t="shared" si="23"/>
        <v>7</v>
      </c>
      <c r="N173" s="9">
        <f t="shared" si="24"/>
        <v>4853.18</v>
      </c>
      <c r="O173" s="9">
        <f t="shared" si="25"/>
        <v>1213.2950000000001</v>
      </c>
      <c r="P173" t="str">
        <f t="shared" si="26"/>
        <v>2025_1</v>
      </c>
      <c r="Q173" t="str">
        <f>IF(Tabela1[[#This Row],[Total da Venda]]&gt;=10000,"VIP","NÃO VIP")</f>
        <v>VIP</v>
      </c>
    </row>
    <row r="174" spans="1:17" ht="15.75" customHeight="1" x14ac:dyDescent="0.25">
      <c r="A174" s="2">
        <v>45747</v>
      </c>
      <c r="B174" s="3">
        <v>4959</v>
      </c>
      <c r="C174" s="4" t="s">
        <v>215</v>
      </c>
      <c r="D174" s="4" t="s">
        <v>16</v>
      </c>
      <c r="E174" s="4" t="s">
        <v>52</v>
      </c>
      <c r="F174" s="4" t="s">
        <v>66</v>
      </c>
      <c r="G174" s="7">
        <v>3</v>
      </c>
      <c r="H174" s="11">
        <v>1022.47</v>
      </c>
      <c r="I174" s="11">
        <f t="shared" si="19"/>
        <v>3067.41</v>
      </c>
      <c r="J174">
        <f t="shared" si="20"/>
        <v>2025</v>
      </c>
      <c r="K174">
        <f t="shared" si="21"/>
        <v>3</v>
      </c>
      <c r="L174">
        <f t="shared" si="22"/>
        <v>31</v>
      </c>
      <c r="M174">
        <f t="shared" si="23"/>
        <v>2</v>
      </c>
      <c r="N174" s="9">
        <f t="shared" si="24"/>
        <v>1226.9639999999999</v>
      </c>
      <c r="O174" s="9">
        <f t="shared" si="25"/>
        <v>306.74099999999999</v>
      </c>
      <c r="P174" t="str">
        <f t="shared" si="26"/>
        <v>2025_4</v>
      </c>
      <c r="Q174" t="str">
        <f>IF(Tabela1[[#This Row],[Total da Venda]]&gt;=10000,"VIP","NÃO VIP")</f>
        <v>NÃO VIP</v>
      </c>
    </row>
    <row r="175" spans="1:17" ht="15.75" customHeight="1" x14ac:dyDescent="0.25">
      <c r="A175" s="2">
        <v>45800</v>
      </c>
      <c r="B175" s="3">
        <v>6541</v>
      </c>
      <c r="C175" s="4" t="s">
        <v>216</v>
      </c>
      <c r="D175" s="4" t="s">
        <v>63</v>
      </c>
      <c r="E175" s="4" t="s">
        <v>40</v>
      </c>
      <c r="F175" s="4" t="s">
        <v>41</v>
      </c>
      <c r="G175" s="7">
        <v>2</v>
      </c>
      <c r="H175" s="11">
        <v>916.94</v>
      </c>
      <c r="I175" s="11">
        <f t="shared" si="19"/>
        <v>1833.88</v>
      </c>
      <c r="J175">
        <f t="shared" si="20"/>
        <v>2025</v>
      </c>
      <c r="K175">
        <f t="shared" si="21"/>
        <v>5</v>
      </c>
      <c r="L175">
        <f t="shared" si="22"/>
        <v>23</v>
      </c>
      <c r="M175">
        <f t="shared" si="23"/>
        <v>6</v>
      </c>
      <c r="N175" s="9">
        <f t="shared" si="24"/>
        <v>733.55200000000013</v>
      </c>
      <c r="O175" s="9">
        <f t="shared" si="25"/>
        <v>183.38800000000003</v>
      </c>
      <c r="P175" t="str">
        <f t="shared" si="26"/>
        <v>2025_3</v>
      </c>
      <c r="Q175" t="str">
        <f>IF(Tabela1[[#This Row],[Total da Venda]]&gt;=10000,"VIP","NÃO VIP")</f>
        <v>NÃO VIP</v>
      </c>
    </row>
    <row r="176" spans="1:17" ht="15.75" customHeight="1" x14ac:dyDescent="0.25">
      <c r="A176" s="2">
        <v>45708</v>
      </c>
      <c r="B176" s="3">
        <v>5607</v>
      </c>
      <c r="C176" s="4" t="s">
        <v>217</v>
      </c>
      <c r="D176" s="4" t="s">
        <v>16</v>
      </c>
      <c r="E176" s="4" t="s">
        <v>52</v>
      </c>
      <c r="F176" s="4" t="s">
        <v>66</v>
      </c>
      <c r="G176" s="7">
        <v>1</v>
      </c>
      <c r="H176" s="11">
        <v>1157.8499999999999</v>
      </c>
      <c r="I176" s="11">
        <f t="shared" si="19"/>
        <v>1157.8499999999999</v>
      </c>
      <c r="J176">
        <f t="shared" si="20"/>
        <v>2025</v>
      </c>
      <c r="K176">
        <f t="shared" si="21"/>
        <v>2</v>
      </c>
      <c r="L176">
        <f t="shared" si="22"/>
        <v>20</v>
      </c>
      <c r="M176">
        <f t="shared" si="23"/>
        <v>5</v>
      </c>
      <c r="N176" s="9">
        <f t="shared" si="24"/>
        <v>463.14</v>
      </c>
      <c r="O176" s="9">
        <f t="shared" si="25"/>
        <v>115.785</v>
      </c>
      <c r="P176" t="str">
        <f t="shared" si="26"/>
        <v>2025_5</v>
      </c>
      <c r="Q176" t="str">
        <f>IF(Tabela1[[#This Row],[Total da Venda]]&gt;=10000,"VIP","NÃO VIP")</f>
        <v>NÃO VIP</v>
      </c>
    </row>
    <row r="177" spans="1:17" ht="15.75" customHeight="1" x14ac:dyDescent="0.25">
      <c r="A177" s="2">
        <v>45801</v>
      </c>
      <c r="B177" s="3">
        <v>6352</v>
      </c>
      <c r="C177" s="4" t="s">
        <v>218</v>
      </c>
      <c r="D177" s="4" t="s">
        <v>37</v>
      </c>
      <c r="E177" s="4" t="s">
        <v>9</v>
      </c>
      <c r="F177" s="4" t="s">
        <v>102</v>
      </c>
      <c r="G177" s="7">
        <v>10</v>
      </c>
      <c r="H177" s="11">
        <v>2350.6999999999998</v>
      </c>
      <c r="I177" s="11">
        <f t="shared" si="19"/>
        <v>23507</v>
      </c>
      <c r="J177">
        <f t="shared" si="20"/>
        <v>2025</v>
      </c>
      <c r="K177">
        <f t="shared" si="21"/>
        <v>5</v>
      </c>
      <c r="L177">
        <f t="shared" si="22"/>
        <v>24</v>
      </c>
      <c r="M177">
        <f t="shared" si="23"/>
        <v>7</v>
      </c>
      <c r="N177" s="9">
        <f t="shared" si="24"/>
        <v>9402.8000000000011</v>
      </c>
      <c r="O177" s="9">
        <f t="shared" si="25"/>
        <v>2350.7000000000003</v>
      </c>
      <c r="P177" t="str">
        <f t="shared" si="26"/>
        <v>2025_2</v>
      </c>
      <c r="Q177" t="str">
        <f>IF(Tabela1[[#This Row],[Total da Venda]]&gt;=10000,"VIP","NÃO VIP")</f>
        <v>VIP</v>
      </c>
    </row>
    <row r="178" spans="1:17" ht="15.75" customHeight="1" x14ac:dyDescent="0.25">
      <c r="A178" s="2">
        <v>45680</v>
      </c>
      <c r="B178" s="3">
        <v>9109</v>
      </c>
      <c r="C178" s="4" t="s">
        <v>219</v>
      </c>
      <c r="D178" s="4" t="s">
        <v>12</v>
      </c>
      <c r="E178" s="4" t="s">
        <v>13</v>
      </c>
      <c r="F178" s="4" t="s">
        <v>56</v>
      </c>
      <c r="G178" s="7">
        <v>6</v>
      </c>
      <c r="H178" s="11">
        <v>1558.15</v>
      </c>
      <c r="I178" s="11">
        <f t="shared" si="19"/>
        <v>9348.9000000000015</v>
      </c>
      <c r="J178">
        <f t="shared" si="20"/>
        <v>2025</v>
      </c>
      <c r="K178">
        <f t="shared" si="21"/>
        <v>1</v>
      </c>
      <c r="L178">
        <f t="shared" si="22"/>
        <v>23</v>
      </c>
      <c r="M178">
        <f t="shared" si="23"/>
        <v>5</v>
      </c>
      <c r="N178" s="9">
        <f t="shared" si="24"/>
        <v>3739.5600000000009</v>
      </c>
      <c r="O178" s="9">
        <f t="shared" si="25"/>
        <v>934.89000000000021</v>
      </c>
      <c r="P178" t="str">
        <f t="shared" si="26"/>
        <v>2025_5</v>
      </c>
      <c r="Q178" t="str">
        <f>IF(Tabela1[[#This Row],[Total da Venda]]&gt;=10000,"VIP","NÃO VIP")</f>
        <v>NÃO VIP</v>
      </c>
    </row>
    <row r="179" spans="1:17" ht="15.75" customHeight="1" x14ac:dyDescent="0.25">
      <c r="A179" s="2">
        <v>45818</v>
      </c>
      <c r="B179" s="3">
        <v>4273</v>
      </c>
      <c r="C179" s="4" t="s">
        <v>220</v>
      </c>
      <c r="D179" s="4" t="s">
        <v>16</v>
      </c>
      <c r="E179" s="4" t="s">
        <v>19</v>
      </c>
      <c r="F179" s="4" t="s">
        <v>20</v>
      </c>
      <c r="G179" s="7">
        <v>10</v>
      </c>
      <c r="H179" s="11">
        <v>746.31</v>
      </c>
      <c r="I179" s="11">
        <f t="shared" si="19"/>
        <v>7463.0999999999995</v>
      </c>
      <c r="J179">
        <f t="shared" si="20"/>
        <v>2025</v>
      </c>
      <c r="K179">
        <f t="shared" si="21"/>
        <v>6</v>
      </c>
      <c r="L179">
        <f t="shared" si="22"/>
        <v>10</v>
      </c>
      <c r="M179">
        <f t="shared" si="23"/>
        <v>3</v>
      </c>
      <c r="N179" s="9">
        <f t="shared" si="24"/>
        <v>2985.24</v>
      </c>
      <c r="O179" s="9">
        <f t="shared" si="25"/>
        <v>746.31</v>
      </c>
      <c r="P179" t="str">
        <f t="shared" si="26"/>
        <v>2025_1</v>
      </c>
      <c r="Q179" t="str">
        <f>IF(Tabela1[[#This Row],[Total da Venda]]&gt;=10000,"VIP","NÃO VIP")</f>
        <v>NÃO VIP</v>
      </c>
    </row>
    <row r="180" spans="1:17" ht="15.75" customHeight="1" x14ac:dyDescent="0.25">
      <c r="A180" s="2">
        <v>45804</v>
      </c>
      <c r="B180" s="3">
        <v>4776</v>
      </c>
      <c r="C180" s="4" t="s">
        <v>221</v>
      </c>
      <c r="D180" s="4" t="s">
        <v>16</v>
      </c>
      <c r="E180" s="4" t="s">
        <v>13</v>
      </c>
      <c r="F180" s="4" t="s">
        <v>17</v>
      </c>
      <c r="G180" s="7">
        <v>10</v>
      </c>
      <c r="H180" s="11">
        <v>1081.3599999999999</v>
      </c>
      <c r="I180" s="11">
        <f t="shared" si="19"/>
        <v>10813.599999999999</v>
      </c>
      <c r="J180">
        <f t="shared" si="20"/>
        <v>2025</v>
      </c>
      <c r="K180">
        <f t="shared" si="21"/>
        <v>5</v>
      </c>
      <c r="L180">
        <f t="shared" si="22"/>
        <v>27</v>
      </c>
      <c r="M180">
        <f t="shared" si="23"/>
        <v>3</v>
      </c>
      <c r="N180" s="9">
        <f t="shared" si="24"/>
        <v>4325.4399999999996</v>
      </c>
      <c r="O180" s="9">
        <f t="shared" si="25"/>
        <v>1081.3599999999999</v>
      </c>
      <c r="P180" t="str">
        <f t="shared" si="26"/>
        <v>2025_6</v>
      </c>
      <c r="Q180" t="str">
        <f>IF(Tabela1[[#This Row],[Total da Venda]]&gt;=10000,"VIP","NÃO VIP")</f>
        <v>VIP</v>
      </c>
    </row>
    <row r="181" spans="1:17" ht="15.75" customHeight="1" x14ac:dyDescent="0.25">
      <c r="A181" s="2">
        <v>45663</v>
      </c>
      <c r="B181" s="3">
        <v>1549</v>
      </c>
      <c r="C181" s="4" t="s">
        <v>222</v>
      </c>
      <c r="D181" s="4" t="s">
        <v>8</v>
      </c>
      <c r="E181" s="4" t="s">
        <v>52</v>
      </c>
      <c r="F181" s="4" t="s">
        <v>66</v>
      </c>
      <c r="G181" s="7">
        <v>4</v>
      </c>
      <c r="H181" s="11">
        <v>819.91</v>
      </c>
      <c r="I181" s="11">
        <f t="shared" si="19"/>
        <v>3279.64</v>
      </c>
      <c r="J181">
        <f t="shared" si="20"/>
        <v>2025</v>
      </c>
      <c r="K181">
        <f t="shared" si="21"/>
        <v>1</v>
      </c>
      <c r="L181">
        <f t="shared" si="22"/>
        <v>6</v>
      </c>
      <c r="M181">
        <f t="shared" si="23"/>
        <v>2</v>
      </c>
      <c r="N181" s="9">
        <f t="shared" si="24"/>
        <v>1311.856</v>
      </c>
      <c r="O181" s="9">
        <f t="shared" si="25"/>
        <v>327.964</v>
      </c>
      <c r="P181" t="str">
        <f t="shared" si="26"/>
        <v>2025_5</v>
      </c>
      <c r="Q181" t="str">
        <f>IF(Tabela1[[#This Row],[Total da Venda]]&gt;=10000,"VIP","NÃO VIP")</f>
        <v>NÃO VIP</v>
      </c>
    </row>
    <row r="182" spans="1:17" ht="15.75" customHeight="1" x14ac:dyDescent="0.25">
      <c r="A182" s="2">
        <v>45680</v>
      </c>
      <c r="B182" s="3">
        <v>3228</v>
      </c>
      <c r="C182" s="4" t="s">
        <v>223</v>
      </c>
      <c r="D182" s="4" t="s">
        <v>16</v>
      </c>
      <c r="E182" s="4" t="s">
        <v>13</v>
      </c>
      <c r="F182" s="4" t="s">
        <v>30</v>
      </c>
      <c r="G182" s="7">
        <v>8</v>
      </c>
      <c r="H182" s="11">
        <v>1407.58</v>
      </c>
      <c r="I182" s="11">
        <f t="shared" si="19"/>
        <v>11260.64</v>
      </c>
      <c r="J182">
        <f t="shared" si="20"/>
        <v>2025</v>
      </c>
      <c r="K182">
        <f t="shared" si="21"/>
        <v>1</v>
      </c>
      <c r="L182">
        <f t="shared" si="22"/>
        <v>23</v>
      </c>
      <c r="M182">
        <f t="shared" si="23"/>
        <v>5</v>
      </c>
      <c r="N182" s="9">
        <f t="shared" si="24"/>
        <v>4504.2560000000003</v>
      </c>
      <c r="O182" s="9">
        <f t="shared" si="25"/>
        <v>1126.0640000000001</v>
      </c>
      <c r="P182" t="str">
        <f t="shared" si="26"/>
        <v>2025_1</v>
      </c>
      <c r="Q182" t="str">
        <f>IF(Tabela1[[#This Row],[Total da Venda]]&gt;=10000,"VIP","NÃO VIP")</f>
        <v>VIP</v>
      </c>
    </row>
    <row r="183" spans="1:17" ht="15.75" customHeight="1" x14ac:dyDescent="0.25">
      <c r="A183" s="2">
        <v>45643</v>
      </c>
      <c r="B183" s="3">
        <v>3543</v>
      </c>
      <c r="C183" s="4" t="s">
        <v>224</v>
      </c>
      <c r="D183" s="4" t="s">
        <v>22</v>
      </c>
      <c r="E183" s="4" t="s">
        <v>13</v>
      </c>
      <c r="F183" s="4" t="s">
        <v>56</v>
      </c>
      <c r="G183" s="7">
        <v>5</v>
      </c>
      <c r="H183" s="11">
        <v>158.02000000000001</v>
      </c>
      <c r="I183" s="11">
        <f t="shared" si="19"/>
        <v>790.1</v>
      </c>
      <c r="J183">
        <f t="shared" si="20"/>
        <v>2024</v>
      </c>
      <c r="K183">
        <f t="shared" si="21"/>
        <v>12</v>
      </c>
      <c r="L183">
        <f t="shared" si="22"/>
        <v>17</v>
      </c>
      <c r="M183">
        <f t="shared" si="23"/>
        <v>3</v>
      </c>
      <c r="N183" s="9">
        <f t="shared" si="24"/>
        <v>316.04000000000002</v>
      </c>
      <c r="O183" s="9">
        <f t="shared" si="25"/>
        <v>79.010000000000005</v>
      </c>
      <c r="P183" t="str">
        <f t="shared" si="26"/>
        <v>2025_1</v>
      </c>
      <c r="Q183" t="str">
        <f>IF(Tabela1[[#This Row],[Total da Venda]]&gt;=10000,"VIP","NÃO VIP")</f>
        <v>NÃO VIP</v>
      </c>
    </row>
    <row r="184" spans="1:17" ht="15.75" customHeight="1" x14ac:dyDescent="0.25">
      <c r="A184" s="2">
        <v>45703</v>
      </c>
      <c r="B184" s="3">
        <v>3895</v>
      </c>
      <c r="C184" s="4" t="s">
        <v>225</v>
      </c>
      <c r="D184" s="4" t="s">
        <v>22</v>
      </c>
      <c r="E184" s="4" t="s">
        <v>40</v>
      </c>
      <c r="F184" s="4" t="s">
        <v>45</v>
      </c>
      <c r="G184" s="7">
        <v>7</v>
      </c>
      <c r="H184" s="11">
        <v>1733.91</v>
      </c>
      <c r="I184" s="11">
        <f t="shared" si="19"/>
        <v>12137.37</v>
      </c>
      <c r="J184">
        <f t="shared" si="20"/>
        <v>2025</v>
      </c>
      <c r="K184">
        <f t="shared" si="21"/>
        <v>2</v>
      </c>
      <c r="L184">
        <f t="shared" si="22"/>
        <v>15</v>
      </c>
      <c r="M184">
        <f t="shared" si="23"/>
        <v>7</v>
      </c>
      <c r="N184" s="9">
        <f t="shared" si="24"/>
        <v>4854.9480000000003</v>
      </c>
      <c r="O184" s="9">
        <f t="shared" si="25"/>
        <v>1213.7370000000001</v>
      </c>
      <c r="P184" t="str">
        <f t="shared" si="26"/>
        <v>2024_12</v>
      </c>
      <c r="Q184" t="str">
        <f>IF(Tabela1[[#This Row],[Total da Venda]]&gt;=10000,"VIP","NÃO VIP")</f>
        <v>VIP</v>
      </c>
    </row>
    <row r="185" spans="1:17" ht="15.75" customHeight="1" x14ac:dyDescent="0.25">
      <c r="A185" s="2">
        <v>45730</v>
      </c>
      <c r="B185" s="3">
        <v>2976</v>
      </c>
      <c r="C185" s="4" t="s">
        <v>226</v>
      </c>
      <c r="D185" s="4" t="s">
        <v>12</v>
      </c>
      <c r="E185" s="4" t="s">
        <v>40</v>
      </c>
      <c r="F185" s="4" t="s">
        <v>45</v>
      </c>
      <c r="G185" s="7">
        <v>7</v>
      </c>
      <c r="H185" s="11">
        <v>558.37</v>
      </c>
      <c r="I185" s="11">
        <f t="shared" si="19"/>
        <v>3908.59</v>
      </c>
      <c r="J185">
        <f t="shared" si="20"/>
        <v>2025</v>
      </c>
      <c r="K185">
        <f t="shared" si="21"/>
        <v>3</v>
      </c>
      <c r="L185">
        <f t="shared" si="22"/>
        <v>14</v>
      </c>
      <c r="M185">
        <f t="shared" si="23"/>
        <v>6</v>
      </c>
      <c r="N185" s="9">
        <f t="shared" si="24"/>
        <v>1563.4360000000001</v>
      </c>
      <c r="O185" s="9">
        <f t="shared" si="25"/>
        <v>390.85900000000004</v>
      </c>
      <c r="P185" t="str">
        <f t="shared" si="26"/>
        <v>2025_2</v>
      </c>
      <c r="Q185" t="str">
        <f>IF(Tabela1[[#This Row],[Total da Venda]]&gt;=10000,"VIP","NÃO VIP")</f>
        <v>NÃO VIP</v>
      </c>
    </row>
    <row r="186" spans="1:17" ht="15.75" customHeight="1" x14ac:dyDescent="0.25">
      <c r="A186" s="2">
        <v>45692</v>
      </c>
      <c r="B186" s="3">
        <v>8984</v>
      </c>
      <c r="C186" s="4" t="s">
        <v>227</v>
      </c>
      <c r="D186" s="4" t="s">
        <v>63</v>
      </c>
      <c r="E186" s="4" t="s">
        <v>19</v>
      </c>
      <c r="F186" s="4" t="s">
        <v>75</v>
      </c>
      <c r="G186" s="7">
        <v>9</v>
      </c>
      <c r="H186" s="11">
        <v>2022.72</v>
      </c>
      <c r="I186" s="11">
        <f t="shared" si="19"/>
        <v>18204.48</v>
      </c>
      <c r="J186">
        <f t="shared" si="20"/>
        <v>2025</v>
      </c>
      <c r="K186">
        <f t="shared" si="21"/>
        <v>2</v>
      </c>
      <c r="L186">
        <f t="shared" si="22"/>
        <v>4</v>
      </c>
      <c r="M186">
        <f t="shared" si="23"/>
        <v>3</v>
      </c>
      <c r="N186" s="9">
        <f t="shared" si="24"/>
        <v>7281.7920000000004</v>
      </c>
      <c r="O186" s="9">
        <f t="shared" si="25"/>
        <v>1820.4480000000001</v>
      </c>
      <c r="P186" t="str">
        <f t="shared" si="26"/>
        <v>2025_3</v>
      </c>
      <c r="Q186" t="str">
        <f>IF(Tabela1[[#This Row],[Total da Venda]]&gt;=10000,"VIP","NÃO VIP")</f>
        <v>VIP</v>
      </c>
    </row>
    <row r="187" spans="1:17" ht="15.75" customHeight="1" x14ac:dyDescent="0.25">
      <c r="A187" s="2">
        <v>45759</v>
      </c>
      <c r="B187" s="3">
        <v>8251</v>
      </c>
      <c r="C187" s="4" t="s">
        <v>228</v>
      </c>
      <c r="D187" s="4" t="s">
        <v>27</v>
      </c>
      <c r="E187" s="4" t="s">
        <v>19</v>
      </c>
      <c r="F187" s="4" t="s">
        <v>32</v>
      </c>
      <c r="G187" s="7">
        <v>8</v>
      </c>
      <c r="H187" s="11">
        <v>1574.21</v>
      </c>
      <c r="I187" s="11">
        <f t="shared" si="19"/>
        <v>12593.68</v>
      </c>
      <c r="J187">
        <f t="shared" si="20"/>
        <v>2025</v>
      </c>
      <c r="K187">
        <f t="shared" si="21"/>
        <v>4</v>
      </c>
      <c r="L187">
        <f t="shared" si="22"/>
        <v>12</v>
      </c>
      <c r="M187">
        <f t="shared" si="23"/>
        <v>7</v>
      </c>
      <c r="N187" s="9">
        <f t="shared" si="24"/>
        <v>5037.4720000000007</v>
      </c>
      <c r="O187" s="9">
        <f t="shared" si="25"/>
        <v>1259.3680000000002</v>
      </c>
      <c r="P187" t="str">
        <f t="shared" si="26"/>
        <v>2025_2</v>
      </c>
      <c r="Q187" t="str">
        <f>IF(Tabela1[[#This Row],[Total da Venda]]&gt;=10000,"VIP","NÃO VIP")</f>
        <v>VIP</v>
      </c>
    </row>
    <row r="188" spans="1:17" ht="15.75" customHeight="1" x14ac:dyDescent="0.25">
      <c r="A188" s="2">
        <v>45808</v>
      </c>
      <c r="B188" s="3">
        <v>9968</v>
      </c>
      <c r="C188" s="4" t="s">
        <v>229</v>
      </c>
      <c r="D188" s="4" t="s">
        <v>37</v>
      </c>
      <c r="E188" s="4" t="s">
        <v>52</v>
      </c>
      <c r="F188" s="4" t="s">
        <v>53</v>
      </c>
      <c r="G188" s="7">
        <v>7</v>
      </c>
      <c r="H188" s="11">
        <v>1493.85</v>
      </c>
      <c r="I188" s="11">
        <f t="shared" si="19"/>
        <v>10456.949999999999</v>
      </c>
      <c r="J188">
        <f t="shared" si="20"/>
        <v>2025</v>
      </c>
      <c r="K188">
        <f t="shared" si="21"/>
        <v>5</v>
      </c>
      <c r="L188">
        <f t="shared" si="22"/>
        <v>31</v>
      </c>
      <c r="M188">
        <f t="shared" si="23"/>
        <v>7</v>
      </c>
      <c r="N188" s="9">
        <f t="shared" si="24"/>
        <v>4182.78</v>
      </c>
      <c r="O188" s="9">
        <f t="shared" si="25"/>
        <v>1045.6949999999999</v>
      </c>
      <c r="P188" t="str">
        <f t="shared" si="26"/>
        <v>2025_4</v>
      </c>
      <c r="Q188" t="str">
        <f>IF(Tabela1[[#This Row],[Total da Venda]]&gt;=10000,"VIP","NÃO VIP")</f>
        <v>VIP</v>
      </c>
    </row>
    <row r="189" spans="1:17" ht="15.75" customHeight="1" x14ac:dyDescent="0.25">
      <c r="A189" s="2">
        <v>45744</v>
      </c>
      <c r="B189" s="3">
        <v>4023</v>
      </c>
      <c r="C189" s="4" t="s">
        <v>230</v>
      </c>
      <c r="D189" s="4" t="s">
        <v>22</v>
      </c>
      <c r="E189" s="4" t="s">
        <v>13</v>
      </c>
      <c r="F189" s="4" t="s">
        <v>17</v>
      </c>
      <c r="G189" s="7">
        <v>6</v>
      </c>
      <c r="H189" s="11">
        <v>1224.69</v>
      </c>
      <c r="I189" s="11">
        <f t="shared" si="19"/>
        <v>7348.14</v>
      </c>
      <c r="J189">
        <f t="shared" si="20"/>
        <v>2025</v>
      </c>
      <c r="K189">
        <f t="shared" si="21"/>
        <v>3</v>
      </c>
      <c r="L189">
        <f t="shared" si="22"/>
        <v>28</v>
      </c>
      <c r="M189">
        <f t="shared" si="23"/>
        <v>6</v>
      </c>
      <c r="N189" s="9">
        <f t="shared" si="24"/>
        <v>2939.2560000000003</v>
      </c>
      <c r="O189" s="9">
        <f t="shared" si="25"/>
        <v>734.81400000000008</v>
      </c>
      <c r="P189" t="str">
        <f t="shared" si="26"/>
        <v>2025_5</v>
      </c>
      <c r="Q189" t="str">
        <f>IF(Tabela1[[#This Row],[Total da Venda]]&gt;=10000,"VIP","NÃO VIP")</f>
        <v>NÃO VIP</v>
      </c>
    </row>
    <row r="190" spans="1:17" ht="15.75" customHeight="1" x14ac:dyDescent="0.25">
      <c r="A190" s="2">
        <v>45795</v>
      </c>
      <c r="B190" s="3">
        <v>6139</v>
      </c>
      <c r="C190" s="4" t="s">
        <v>231</v>
      </c>
      <c r="D190" s="4" t="s">
        <v>63</v>
      </c>
      <c r="E190" s="4" t="s">
        <v>19</v>
      </c>
      <c r="F190" s="4" t="s">
        <v>47</v>
      </c>
      <c r="G190" s="7">
        <v>8</v>
      </c>
      <c r="H190" s="11">
        <v>363.87</v>
      </c>
      <c r="I190" s="11">
        <f t="shared" si="19"/>
        <v>2910.96</v>
      </c>
      <c r="J190">
        <f t="shared" si="20"/>
        <v>2025</v>
      </c>
      <c r="K190">
        <f t="shared" si="21"/>
        <v>5</v>
      </c>
      <c r="L190">
        <f t="shared" si="22"/>
        <v>18</v>
      </c>
      <c r="M190">
        <f t="shared" si="23"/>
        <v>1</v>
      </c>
      <c r="N190" s="9">
        <f t="shared" si="24"/>
        <v>1164.384</v>
      </c>
      <c r="O190" s="9">
        <f t="shared" si="25"/>
        <v>291.096</v>
      </c>
      <c r="P190" t="str">
        <f t="shared" si="26"/>
        <v>2025_3</v>
      </c>
      <c r="Q190" t="str">
        <f>IF(Tabela1[[#This Row],[Total da Venda]]&gt;=10000,"VIP","NÃO VIP")</f>
        <v>NÃO VIP</v>
      </c>
    </row>
    <row r="191" spans="1:17" ht="15.75" customHeight="1" x14ac:dyDescent="0.25">
      <c r="A191" s="2">
        <v>45793</v>
      </c>
      <c r="B191" s="3">
        <v>2699</v>
      </c>
      <c r="C191" s="4" t="s">
        <v>232</v>
      </c>
      <c r="D191" s="4" t="s">
        <v>63</v>
      </c>
      <c r="E191" s="4" t="s">
        <v>40</v>
      </c>
      <c r="F191" s="4" t="s">
        <v>85</v>
      </c>
      <c r="G191" s="7">
        <v>4</v>
      </c>
      <c r="H191" s="11">
        <v>2082.79</v>
      </c>
      <c r="I191" s="11">
        <f t="shared" si="19"/>
        <v>8331.16</v>
      </c>
      <c r="J191">
        <f t="shared" si="20"/>
        <v>2025</v>
      </c>
      <c r="K191">
        <f t="shared" si="21"/>
        <v>5</v>
      </c>
      <c r="L191">
        <f t="shared" si="22"/>
        <v>16</v>
      </c>
      <c r="M191">
        <f t="shared" si="23"/>
        <v>6</v>
      </c>
      <c r="N191" s="9">
        <f t="shared" si="24"/>
        <v>3332.4639999999999</v>
      </c>
      <c r="O191" s="9">
        <f t="shared" si="25"/>
        <v>833.11599999999999</v>
      </c>
      <c r="P191" t="str">
        <f t="shared" si="26"/>
        <v>2025_5</v>
      </c>
      <c r="Q191" t="str">
        <f>IF(Tabela1[[#This Row],[Total da Venda]]&gt;=10000,"VIP","NÃO VIP")</f>
        <v>NÃO VIP</v>
      </c>
    </row>
    <row r="192" spans="1:17" ht="15.75" customHeight="1" x14ac:dyDescent="0.25">
      <c r="A192" s="2">
        <v>45710</v>
      </c>
      <c r="B192" s="3">
        <v>4323</v>
      </c>
      <c r="C192" s="4" t="s">
        <v>233</v>
      </c>
      <c r="D192" s="4" t="s">
        <v>37</v>
      </c>
      <c r="E192" s="4" t="s">
        <v>13</v>
      </c>
      <c r="F192" s="4" t="s">
        <v>56</v>
      </c>
      <c r="G192" s="7">
        <v>6</v>
      </c>
      <c r="H192" s="11">
        <v>2889.42</v>
      </c>
      <c r="I192" s="11">
        <f t="shared" si="19"/>
        <v>17336.52</v>
      </c>
      <c r="J192">
        <f t="shared" si="20"/>
        <v>2025</v>
      </c>
      <c r="K192">
        <f t="shared" si="21"/>
        <v>2</v>
      </c>
      <c r="L192">
        <f t="shared" si="22"/>
        <v>22</v>
      </c>
      <c r="M192">
        <f t="shared" si="23"/>
        <v>7</v>
      </c>
      <c r="N192" s="9">
        <f t="shared" si="24"/>
        <v>6934.6080000000002</v>
      </c>
      <c r="O192" s="9">
        <f t="shared" si="25"/>
        <v>1733.652</v>
      </c>
      <c r="P192" t="str">
        <f t="shared" si="26"/>
        <v>2025_5</v>
      </c>
      <c r="Q192" t="str">
        <f>IF(Tabela1[[#This Row],[Total da Venda]]&gt;=10000,"VIP","NÃO VIP")</f>
        <v>VIP</v>
      </c>
    </row>
    <row r="193" spans="1:17" ht="15.75" customHeight="1" x14ac:dyDescent="0.25">
      <c r="A193" s="2">
        <v>45712</v>
      </c>
      <c r="B193" s="3">
        <v>6078</v>
      </c>
      <c r="C193" s="4" t="s">
        <v>234</v>
      </c>
      <c r="D193" s="4" t="s">
        <v>22</v>
      </c>
      <c r="E193" s="4" t="s">
        <v>13</v>
      </c>
      <c r="F193" s="4" t="s">
        <v>64</v>
      </c>
      <c r="G193" s="7">
        <v>8</v>
      </c>
      <c r="H193" s="11">
        <v>1491.66</v>
      </c>
      <c r="I193" s="11">
        <f t="shared" si="19"/>
        <v>11933.28</v>
      </c>
      <c r="J193">
        <f t="shared" si="20"/>
        <v>2025</v>
      </c>
      <c r="K193">
        <f t="shared" si="21"/>
        <v>2</v>
      </c>
      <c r="L193">
        <f t="shared" si="22"/>
        <v>24</v>
      </c>
      <c r="M193">
        <f t="shared" si="23"/>
        <v>2</v>
      </c>
      <c r="N193" s="9">
        <f t="shared" si="24"/>
        <v>4773.3120000000008</v>
      </c>
      <c r="O193" s="9">
        <f t="shared" si="25"/>
        <v>1193.3280000000002</v>
      </c>
      <c r="P193" t="str">
        <f t="shared" si="26"/>
        <v>2025_2</v>
      </c>
      <c r="Q193" t="str">
        <f>IF(Tabela1[[#This Row],[Total da Venda]]&gt;=10000,"VIP","NÃO VIP")</f>
        <v>VIP</v>
      </c>
    </row>
    <row r="194" spans="1:17" ht="15.75" customHeight="1" x14ac:dyDescent="0.25">
      <c r="A194" s="2">
        <v>45653</v>
      </c>
      <c r="B194" s="3">
        <v>6901</v>
      </c>
      <c r="C194" s="4" t="s">
        <v>235</v>
      </c>
      <c r="D194" s="4" t="s">
        <v>16</v>
      </c>
      <c r="E194" s="4" t="s">
        <v>9</v>
      </c>
      <c r="F194" s="4" t="s">
        <v>43</v>
      </c>
      <c r="G194" s="7">
        <v>9</v>
      </c>
      <c r="H194" s="11">
        <v>1839.57</v>
      </c>
      <c r="I194" s="11">
        <f t="shared" si="19"/>
        <v>16556.13</v>
      </c>
      <c r="J194">
        <f t="shared" si="20"/>
        <v>2024</v>
      </c>
      <c r="K194">
        <f t="shared" si="21"/>
        <v>12</v>
      </c>
      <c r="L194">
        <f t="shared" si="22"/>
        <v>27</v>
      </c>
      <c r="M194">
        <f t="shared" si="23"/>
        <v>6</v>
      </c>
      <c r="N194" s="9">
        <f t="shared" si="24"/>
        <v>6622.4520000000011</v>
      </c>
      <c r="O194" s="9">
        <f t="shared" si="25"/>
        <v>1655.6130000000003</v>
      </c>
      <c r="P194" t="str">
        <f t="shared" ref="P194:P201" si="27">CONCATENATE(J193,"_",K193)</f>
        <v>2025_2</v>
      </c>
      <c r="Q194" t="str">
        <f>IF(Tabela1[[#This Row],[Total da Venda]]&gt;=10000,"VIP","NÃO VIP")</f>
        <v>VIP</v>
      </c>
    </row>
    <row r="195" spans="1:17" ht="15.75" customHeight="1" x14ac:dyDescent="0.25">
      <c r="A195" s="2">
        <v>45676</v>
      </c>
      <c r="B195" s="3">
        <v>5178</v>
      </c>
      <c r="C195" s="4" t="s">
        <v>236</v>
      </c>
      <c r="D195" s="4" t="s">
        <v>8</v>
      </c>
      <c r="E195" s="4" t="s">
        <v>52</v>
      </c>
      <c r="F195" s="4" t="s">
        <v>97</v>
      </c>
      <c r="G195" s="7">
        <v>6</v>
      </c>
      <c r="H195" s="11">
        <v>753.5</v>
      </c>
      <c r="I195" s="11">
        <f t="shared" ref="I195:I201" si="28">G195*H195</f>
        <v>4521</v>
      </c>
      <c r="J195">
        <f t="shared" ref="J195:J201" si="29">YEAR(A195)</f>
        <v>2025</v>
      </c>
      <c r="K195">
        <f t="shared" ref="K195:K201" si="30">MONTH(A195)</f>
        <v>1</v>
      </c>
      <c r="L195">
        <f t="shared" ref="L195:L201" si="31">DAY(A195)</f>
        <v>19</v>
      </c>
      <c r="M195">
        <f t="shared" ref="M195:M201" si="32">WEEKDAY(A195)</f>
        <v>1</v>
      </c>
      <c r="N195" s="9">
        <f t="shared" ref="N195:N201" si="33">I195*0.4</f>
        <v>1808.4</v>
      </c>
      <c r="O195" s="9">
        <f t="shared" ref="O195:O201" si="34">I195*0.1</f>
        <v>452.1</v>
      </c>
      <c r="P195" t="str">
        <f t="shared" si="27"/>
        <v>2024_12</v>
      </c>
      <c r="Q195" t="str">
        <f>IF(Tabela1[[#This Row],[Total da Venda]]&gt;=10000,"VIP","NÃO VIP")</f>
        <v>NÃO VIP</v>
      </c>
    </row>
    <row r="196" spans="1:17" ht="15.75" customHeight="1" x14ac:dyDescent="0.25">
      <c r="A196" s="2">
        <v>45675</v>
      </c>
      <c r="B196" s="3">
        <v>8312</v>
      </c>
      <c r="C196" s="4" t="s">
        <v>237</v>
      </c>
      <c r="D196" s="4" t="s">
        <v>8</v>
      </c>
      <c r="E196" s="4" t="s">
        <v>19</v>
      </c>
      <c r="F196" s="4" t="s">
        <v>75</v>
      </c>
      <c r="G196" s="7">
        <v>1</v>
      </c>
      <c r="H196" s="11">
        <v>1574.61</v>
      </c>
      <c r="I196" s="11">
        <f t="shared" si="28"/>
        <v>1574.61</v>
      </c>
      <c r="J196">
        <f t="shared" si="29"/>
        <v>2025</v>
      </c>
      <c r="K196">
        <f t="shared" si="30"/>
        <v>1</v>
      </c>
      <c r="L196">
        <f t="shared" si="31"/>
        <v>18</v>
      </c>
      <c r="M196">
        <f t="shared" si="32"/>
        <v>7</v>
      </c>
      <c r="N196" s="9">
        <f t="shared" si="33"/>
        <v>629.84400000000005</v>
      </c>
      <c r="O196" s="9">
        <f t="shared" si="34"/>
        <v>157.46100000000001</v>
      </c>
      <c r="P196" t="str">
        <f t="shared" si="27"/>
        <v>2025_1</v>
      </c>
      <c r="Q196" t="str">
        <f>IF(Tabela1[[#This Row],[Total da Venda]]&gt;=10000,"VIP","NÃO VIP")</f>
        <v>NÃO VIP</v>
      </c>
    </row>
    <row r="197" spans="1:17" ht="15.75" customHeight="1" x14ac:dyDescent="0.25">
      <c r="A197" s="2">
        <v>45690</v>
      </c>
      <c r="B197" s="3">
        <v>3091</v>
      </c>
      <c r="C197" s="4" t="s">
        <v>238</v>
      </c>
      <c r="D197" s="4" t="s">
        <v>16</v>
      </c>
      <c r="E197" s="4" t="s">
        <v>19</v>
      </c>
      <c r="F197" s="4" t="s">
        <v>32</v>
      </c>
      <c r="G197" s="7">
        <v>1</v>
      </c>
      <c r="H197" s="11">
        <v>1718.77</v>
      </c>
      <c r="I197" s="11">
        <f t="shared" si="28"/>
        <v>1718.77</v>
      </c>
      <c r="J197">
        <f t="shared" si="29"/>
        <v>2025</v>
      </c>
      <c r="K197">
        <f t="shared" si="30"/>
        <v>2</v>
      </c>
      <c r="L197">
        <f t="shared" si="31"/>
        <v>2</v>
      </c>
      <c r="M197">
        <f t="shared" si="32"/>
        <v>1</v>
      </c>
      <c r="N197" s="9">
        <f t="shared" si="33"/>
        <v>687.50800000000004</v>
      </c>
      <c r="O197" s="9">
        <f t="shared" si="34"/>
        <v>171.87700000000001</v>
      </c>
      <c r="P197" t="str">
        <f t="shared" si="27"/>
        <v>2025_1</v>
      </c>
      <c r="Q197" t="str">
        <f>IF(Tabela1[[#This Row],[Total da Venda]]&gt;=10000,"VIP","NÃO VIP")</f>
        <v>NÃO VIP</v>
      </c>
    </row>
    <row r="198" spans="1:17" ht="15.75" customHeight="1" x14ac:dyDescent="0.25">
      <c r="A198" s="2">
        <v>45654</v>
      </c>
      <c r="B198" s="3">
        <v>3476</v>
      </c>
      <c r="C198" s="4" t="s">
        <v>239</v>
      </c>
      <c r="D198" s="4" t="s">
        <v>37</v>
      </c>
      <c r="E198" s="4" t="s">
        <v>40</v>
      </c>
      <c r="F198" s="4" t="s">
        <v>85</v>
      </c>
      <c r="G198" s="7">
        <v>1</v>
      </c>
      <c r="H198" s="11">
        <v>2895.27</v>
      </c>
      <c r="I198" s="11">
        <f t="shared" si="28"/>
        <v>2895.27</v>
      </c>
      <c r="J198">
        <f t="shared" si="29"/>
        <v>2024</v>
      </c>
      <c r="K198">
        <f t="shared" si="30"/>
        <v>12</v>
      </c>
      <c r="L198">
        <f t="shared" si="31"/>
        <v>28</v>
      </c>
      <c r="M198">
        <f t="shared" si="32"/>
        <v>7</v>
      </c>
      <c r="N198" s="9">
        <f t="shared" si="33"/>
        <v>1158.1079999999999</v>
      </c>
      <c r="O198" s="9">
        <f t="shared" si="34"/>
        <v>289.52699999999999</v>
      </c>
      <c r="P198" t="str">
        <f t="shared" si="27"/>
        <v>2025_2</v>
      </c>
      <c r="Q198" t="str">
        <f>IF(Tabela1[[#This Row],[Total da Venda]]&gt;=10000,"VIP","NÃO VIP")</f>
        <v>NÃO VIP</v>
      </c>
    </row>
    <row r="199" spans="1:17" ht="15.75" customHeight="1" x14ac:dyDescent="0.25">
      <c r="A199" s="2">
        <v>45682</v>
      </c>
      <c r="B199" s="3">
        <v>8707</v>
      </c>
      <c r="C199" s="4" t="s">
        <v>240</v>
      </c>
      <c r="D199" s="4" t="s">
        <v>37</v>
      </c>
      <c r="E199" s="4" t="s">
        <v>40</v>
      </c>
      <c r="F199" s="4" t="s">
        <v>41</v>
      </c>
      <c r="G199" s="7">
        <v>10</v>
      </c>
      <c r="H199" s="11">
        <v>116.63</v>
      </c>
      <c r="I199" s="11">
        <f t="shared" si="28"/>
        <v>1166.3</v>
      </c>
      <c r="J199">
        <f t="shared" si="29"/>
        <v>2025</v>
      </c>
      <c r="K199">
        <f t="shared" si="30"/>
        <v>1</v>
      </c>
      <c r="L199">
        <f t="shared" si="31"/>
        <v>25</v>
      </c>
      <c r="M199">
        <f t="shared" si="32"/>
        <v>7</v>
      </c>
      <c r="N199" s="9">
        <f t="shared" si="33"/>
        <v>466.52</v>
      </c>
      <c r="O199" s="9">
        <f t="shared" si="34"/>
        <v>116.63</v>
      </c>
      <c r="P199" t="str">
        <f t="shared" si="27"/>
        <v>2024_12</v>
      </c>
      <c r="Q199" t="str">
        <f>IF(Tabela1[[#This Row],[Total da Venda]]&gt;=10000,"VIP","NÃO VIP")</f>
        <v>NÃO VIP</v>
      </c>
    </row>
    <row r="200" spans="1:17" ht="15.75" customHeight="1" x14ac:dyDescent="0.25">
      <c r="A200" s="2">
        <v>45709</v>
      </c>
      <c r="B200" s="3">
        <v>9562</v>
      </c>
      <c r="C200" s="4" t="s">
        <v>241</v>
      </c>
      <c r="D200" s="4" t="s">
        <v>27</v>
      </c>
      <c r="E200" s="4" t="s">
        <v>19</v>
      </c>
      <c r="F200" s="4" t="s">
        <v>32</v>
      </c>
      <c r="G200" s="7">
        <v>4</v>
      </c>
      <c r="H200" s="11">
        <v>981.58</v>
      </c>
      <c r="I200" s="11">
        <f t="shared" si="28"/>
        <v>3926.32</v>
      </c>
      <c r="J200">
        <f t="shared" si="29"/>
        <v>2025</v>
      </c>
      <c r="K200">
        <f t="shared" si="30"/>
        <v>2</v>
      </c>
      <c r="L200">
        <f t="shared" si="31"/>
        <v>21</v>
      </c>
      <c r="M200">
        <f t="shared" si="32"/>
        <v>6</v>
      </c>
      <c r="N200" s="9">
        <f t="shared" si="33"/>
        <v>1570.5280000000002</v>
      </c>
      <c r="O200" s="9">
        <f t="shared" si="34"/>
        <v>392.63200000000006</v>
      </c>
      <c r="P200" t="str">
        <f t="shared" si="27"/>
        <v>2025_1</v>
      </c>
      <c r="Q200" t="str">
        <f>IF(Tabela1[[#This Row],[Total da Venda]]&gt;=10000,"VIP","NÃO VIP")</f>
        <v>NÃO VIP</v>
      </c>
    </row>
    <row r="201" spans="1:17" ht="15.75" customHeight="1" x14ac:dyDescent="0.25">
      <c r="A201" s="2">
        <v>45696</v>
      </c>
      <c r="B201" s="3">
        <v>8349</v>
      </c>
      <c r="C201" s="4" t="s">
        <v>242</v>
      </c>
      <c r="D201" s="4" t="s">
        <v>27</v>
      </c>
      <c r="E201" s="4" t="s">
        <v>9</v>
      </c>
      <c r="F201" s="4" t="s">
        <v>102</v>
      </c>
      <c r="G201" s="7">
        <v>4</v>
      </c>
      <c r="H201" s="11">
        <v>2260.4499999999998</v>
      </c>
      <c r="I201" s="11">
        <f t="shared" si="28"/>
        <v>9041.7999999999993</v>
      </c>
      <c r="J201">
        <f t="shared" si="29"/>
        <v>2025</v>
      </c>
      <c r="K201">
        <f t="shared" si="30"/>
        <v>2</v>
      </c>
      <c r="L201">
        <f t="shared" si="31"/>
        <v>8</v>
      </c>
      <c r="M201">
        <f t="shared" si="32"/>
        <v>7</v>
      </c>
      <c r="N201" s="9">
        <f t="shared" si="33"/>
        <v>3616.72</v>
      </c>
      <c r="O201" s="9">
        <f t="shared" si="34"/>
        <v>904.18</v>
      </c>
      <c r="P201" t="str">
        <f t="shared" si="27"/>
        <v>2025_2</v>
      </c>
      <c r="Q201" t="str">
        <f>IF(Tabela1[[#This Row],[Total da Venda]]&gt;=10000,"VIP","NÃO VIP")</f>
        <v>NÃO VIP</v>
      </c>
    </row>
    <row r="202" spans="1:17" ht="15.75" customHeight="1" x14ac:dyDescent="0.25"/>
    <row r="203" spans="1:17" ht="15.75" customHeight="1" x14ac:dyDescent="0.25"/>
    <row r="204" spans="1:17" ht="15.75" customHeight="1" x14ac:dyDescent="0.25"/>
    <row r="205" spans="1:17" ht="15.75" customHeight="1" x14ac:dyDescent="0.25"/>
    <row r="206" spans="1:17" ht="15.75" customHeight="1" x14ac:dyDescent="0.25"/>
    <row r="207" spans="1:17" ht="15.75" customHeight="1" x14ac:dyDescent="0.25"/>
    <row r="208" spans="1:17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94368-5376-467A-9594-4B9E7AD3383A}">
  <dimension ref="A3:U7"/>
  <sheetViews>
    <sheetView showGridLines="0" zoomScale="85" zoomScaleNormal="85" workbookViewId="0">
      <selection activeCell="A3" sqref="A3:I7"/>
    </sheetView>
  </sheetViews>
  <sheetFormatPr defaultRowHeight="15" x14ac:dyDescent="0.25"/>
  <cols>
    <col min="1" max="1" width="22.5703125" bestFit="1" customWidth="1"/>
    <col min="2" max="2" width="19.5703125" bestFit="1" customWidth="1"/>
    <col min="3" max="4" width="14.42578125" bestFit="1" customWidth="1"/>
    <col min="5" max="5" width="13.42578125" bestFit="1" customWidth="1"/>
    <col min="6" max="8" width="14.42578125" bestFit="1" customWidth="1"/>
    <col min="9" max="9" width="16" bestFit="1" customWidth="1"/>
    <col min="10" max="10" width="19.7109375" bestFit="1" customWidth="1"/>
    <col min="11" max="11" width="22.140625" bestFit="1" customWidth="1"/>
    <col min="12" max="12" width="19.7109375" bestFit="1" customWidth="1"/>
    <col min="13" max="13" width="22.140625" bestFit="1" customWidth="1"/>
    <col min="14" max="14" width="19.7109375" bestFit="1" customWidth="1"/>
    <col min="15" max="15" width="22.140625" bestFit="1" customWidth="1"/>
    <col min="16" max="16" width="24.7109375" bestFit="1" customWidth="1"/>
    <col min="17" max="17" width="27.140625" bestFit="1" customWidth="1"/>
    <col min="18" max="18" width="24.28515625" bestFit="1" customWidth="1"/>
    <col min="19" max="19" width="26.7109375" bestFit="1" customWidth="1"/>
    <col min="20" max="20" width="24.7109375" bestFit="1" customWidth="1"/>
    <col min="21" max="21" width="27.140625" bestFit="1" customWidth="1"/>
  </cols>
  <sheetData>
    <row r="3" spans="1:21" s="13" customFormat="1" x14ac:dyDescent="0.25">
      <c r="A3" s="17" t="s">
        <v>253</v>
      </c>
      <c r="B3" s="48" t="s">
        <v>263</v>
      </c>
      <c r="C3" s="49"/>
      <c r="D3" s="50"/>
      <c r="E3" s="50"/>
      <c r="F3" s="50"/>
      <c r="G3" s="50"/>
      <c r="H3" s="50"/>
      <c r="I3" s="51"/>
      <c r="J3"/>
      <c r="K3"/>
      <c r="L3"/>
      <c r="M3"/>
      <c r="N3"/>
      <c r="O3"/>
      <c r="P3"/>
      <c r="Q3"/>
      <c r="R3"/>
      <c r="S3"/>
      <c r="T3"/>
      <c r="U3"/>
    </row>
    <row r="4" spans="1:21" s="13" customFormat="1" x14ac:dyDescent="0.25">
      <c r="A4" s="46" t="s">
        <v>261</v>
      </c>
      <c r="B4" s="14">
        <v>1</v>
      </c>
      <c r="C4" s="14">
        <v>2</v>
      </c>
      <c r="D4" s="14">
        <v>3</v>
      </c>
      <c r="E4" s="14">
        <v>4</v>
      </c>
      <c r="F4" s="14">
        <v>5</v>
      </c>
      <c r="G4" s="14">
        <v>6</v>
      </c>
      <c r="H4" s="14">
        <v>7</v>
      </c>
      <c r="I4" s="47" t="s">
        <v>251</v>
      </c>
      <c r="J4"/>
      <c r="K4"/>
      <c r="L4"/>
      <c r="M4"/>
      <c r="N4"/>
      <c r="O4"/>
      <c r="P4"/>
      <c r="Q4"/>
      <c r="R4"/>
      <c r="S4"/>
      <c r="T4"/>
      <c r="U4"/>
    </row>
    <row r="5" spans="1:21" s="13" customFormat="1" x14ac:dyDescent="0.25">
      <c r="A5" s="18" t="s">
        <v>262</v>
      </c>
      <c r="B5" s="15">
        <v>125557.84</v>
      </c>
      <c r="C5" s="15">
        <v>51175.8</v>
      </c>
      <c r="D5" s="15">
        <v>58599.86</v>
      </c>
      <c r="E5" s="15">
        <v>33040.65</v>
      </c>
      <c r="F5" s="15">
        <v>56169.590000000004</v>
      </c>
      <c r="G5" s="15">
        <v>79514.600000000006</v>
      </c>
      <c r="H5" s="15">
        <v>96508.290000000008</v>
      </c>
      <c r="I5" s="15">
        <v>500566.63000000012</v>
      </c>
      <c r="J5"/>
      <c r="K5"/>
      <c r="L5"/>
      <c r="M5"/>
      <c r="N5"/>
      <c r="O5"/>
      <c r="P5"/>
      <c r="Q5"/>
      <c r="R5"/>
      <c r="S5"/>
      <c r="T5"/>
      <c r="U5"/>
    </row>
    <row r="6" spans="1:21" s="13" customFormat="1" x14ac:dyDescent="0.25">
      <c r="A6" s="18" t="s">
        <v>261</v>
      </c>
      <c r="B6" s="15">
        <v>115438.61</v>
      </c>
      <c r="C6" s="15">
        <v>152980.56</v>
      </c>
      <c r="D6" s="15">
        <v>135126.54</v>
      </c>
      <c r="E6" s="15">
        <v>44258.590000000004</v>
      </c>
      <c r="F6" s="15">
        <v>181721.19</v>
      </c>
      <c r="G6" s="15">
        <v>293062.98</v>
      </c>
      <c r="H6" s="15">
        <v>259374.28</v>
      </c>
      <c r="I6" s="15">
        <v>1181962.75</v>
      </c>
      <c r="J6"/>
      <c r="K6"/>
      <c r="L6"/>
      <c r="M6"/>
      <c r="N6"/>
      <c r="O6"/>
      <c r="P6"/>
      <c r="Q6"/>
      <c r="R6"/>
      <c r="S6"/>
      <c r="T6"/>
      <c r="U6"/>
    </row>
    <row r="7" spans="1:21" x14ac:dyDescent="0.25">
      <c r="A7" s="16" t="s">
        <v>251</v>
      </c>
      <c r="B7" s="15">
        <v>240996.45</v>
      </c>
      <c r="C7" s="15">
        <v>204156.36</v>
      </c>
      <c r="D7" s="15">
        <v>193726.40000000002</v>
      </c>
      <c r="E7" s="15">
        <v>77299.240000000005</v>
      </c>
      <c r="F7" s="15">
        <v>237890.78</v>
      </c>
      <c r="G7" s="15">
        <v>372577.57999999996</v>
      </c>
      <c r="H7" s="15">
        <v>355882.57</v>
      </c>
      <c r="I7" s="15">
        <v>1682529.3800000001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CF1AD-8F44-4A68-9B26-0D0EE60113BD}">
  <dimension ref="A2:K77"/>
  <sheetViews>
    <sheetView topLeftCell="B44" zoomScaleNormal="100" workbookViewId="0">
      <selection activeCell="P72" sqref="P72"/>
    </sheetView>
  </sheetViews>
  <sheetFormatPr defaultRowHeight="15" x14ac:dyDescent="0.25"/>
  <cols>
    <col min="1" max="1" width="22.5703125" bestFit="1" customWidth="1"/>
    <col min="2" max="2" width="22.7109375" bestFit="1" customWidth="1"/>
    <col min="3" max="7" width="14.42578125" bestFit="1" customWidth="1"/>
    <col min="8" max="8" width="14.28515625" bestFit="1" customWidth="1"/>
    <col min="9" max="9" width="16" bestFit="1" customWidth="1"/>
  </cols>
  <sheetData>
    <row r="2" spans="1:9" x14ac:dyDescent="0.25">
      <c r="A2" s="30"/>
      <c r="B2" s="29">
        <v>2024</v>
      </c>
      <c r="C2" s="29">
        <v>2025</v>
      </c>
      <c r="D2" s="31"/>
      <c r="E2" s="32"/>
      <c r="F2" s="32"/>
      <c r="G2" s="32"/>
      <c r="H2" s="33"/>
      <c r="I2" s="30" t="s">
        <v>251</v>
      </c>
    </row>
    <row r="3" spans="1:9" x14ac:dyDescent="0.25">
      <c r="A3" s="30"/>
      <c r="B3" s="29">
        <v>12</v>
      </c>
      <c r="C3" s="29">
        <v>1</v>
      </c>
      <c r="D3" s="29">
        <v>2</v>
      </c>
      <c r="E3" s="29">
        <v>3</v>
      </c>
      <c r="F3" s="29">
        <v>4</v>
      </c>
      <c r="G3" s="29">
        <v>5</v>
      </c>
      <c r="H3" s="29">
        <v>6</v>
      </c>
      <c r="I3" s="30"/>
    </row>
    <row r="4" spans="1:9" x14ac:dyDescent="0.25">
      <c r="A4" s="29" t="s">
        <v>253</v>
      </c>
      <c r="B4" s="34">
        <v>190309.99</v>
      </c>
      <c r="C4" s="35">
        <v>253222.88</v>
      </c>
      <c r="D4" s="36">
        <v>315849.32</v>
      </c>
      <c r="E4" s="35">
        <v>287268.71999999997</v>
      </c>
      <c r="F4" s="35">
        <v>298945.33</v>
      </c>
      <c r="G4" s="35">
        <v>276175.40999999997</v>
      </c>
      <c r="H4" s="35">
        <v>60757.73</v>
      </c>
      <c r="I4" s="37">
        <v>1682529.38</v>
      </c>
    </row>
    <row r="5" spans="1:9" x14ac:dyDescent="0.25">
      <c r="A5" s="38" t="s">
        <v>255</v>
      </c>
      <c r="B5" s="39">
        <f>B4/$I4</f>
        <v>0.11310946023420999</v>
      </c>
      <c r="C5" s="39">
        <f>C4/$I4</f>
        <v>0.15050131249416876</v>
      </c>
      <c r="D5" s="39">
        <f>D4/$I4</f>
        <v>0.18772291512674805</v>
      </c>
      <c r="E5" s="39">
        <f>E4/$I4</f>
        <v>0.17073622809486988</v>
      </c>
      <c r="F5" s="39">
        <f>F4/$I4</f>
        <v>0.17767614257053868</v>
      </c>
      <c r="G5" s="39">
        <f>G4/$I4</f>
        <v>0.16414299404388408</v>
      </c>
      <c r="H5" s="39">
        <f>H4/$I4</f>
        <v>3.6110947435580597E-2</v>
      </c>
      <c r="I5" s="13"/>
    </row>
    <row r="6" spans="1:9" x14ac:dyDescent="0.25">
      <c r="A6" s="25" t="s">
        <v>252</v>
      </c>
      <c r="B6" s="19">
        <v>182</v>
      </c>
      <c r="C6" s="19">
        <v>196</v>
      </c>
      <c r="D6" s="19">
        <v>190</v>
      </c>
      <c r="E6" s="19">
        <v>167</v>
      </c>
      <c r="F6" s="19">
        <v>187</v>
      </c>
      <c r="G6" s="19">
        <v>187</v>
      </c>
      <c r="H6" s="19">
        <v>52</v>
      </c>
      <c r="I6" s="19">
        <v>1161</v>
      </c>
    </row>
    <row r="7" spans="1:9" x14ac:dyDescent="0.25">
      <c r="A7" s="38" t="s">
        <v>255</v>
      </c>
      <c r="B7" s="40">
        <f>B6/$I6</f>
        <v>0.15676141257536608</v>
      </c>
      <c r="C7" s="40">
        <f>C6/$I6</f>
        <v>0.16881998277347116</v>
      </c>
      <c r="D7" s="40">
        <f>D6/$I6</f>
        <v>0.16365202411714039</v>
      </c>
      <c r="E7" s="40">
        <f>E6/$I6</f>
        <v>0.1438415159345392</v>
      </c>
      <c r="F7" s="40">
        <f>F6/$I6</f>
        <v>0.16106804478897502</v>
      </c>
      <c r="G7" s="40">
        <f>G6/$I6</f>
        <v>0.16106804478897502</v>
      </c>
      <c r="H7" s="40">
        <f>H6/$I6</f>
        <v>4.4788975021533159E-2</v>
      </c>
      <c r="I7" s="40"/>
    </row>
    <row r="8" spans="1:9" x14ac:dyDescent="0.25">
      <c r="A8" s="38" t="s">
        <v>256</v>
      </c>
      <c r="B8" s="41">
        <f>B4/B6</f>
        <v>1045.6592857142857</v>
      </c>
      <c r="C8" s="41">
        <f t="shared" ref="C8:I8" si="0">C4/C6</f>
        <v>1291.9534693877551</v>
      </c>
      <c r="D8" s="41">
        <f t="shared" si="0"/>
        <v>1662.3648421052633</v>
      </c>
      <c r="E8" s="41">
        <f t="shared" si="0"/>
        <v>1720.1719760479041</v>
      </c>
      <c r="F8" s="41">
        <f t="shared" si="0"/>
        <v>1598.6381283422461</v>
      </c>
      <c r="G8" s="41">
        <f t="shared" si="0"/>
        <v>1476.8738502673796</v>
      </c>
      <c r="H8" s="41">
        <f t="shared" si="0"/>
        <v>1168.4178846153848</v>
      </c>
      <c r="I8" s="41">
        <f t="shared" si="0"/>
        <v>1449.2070456503013</v>
      </c>
    </row>
    <row r="11" spans="1:9" x14ac:dyDescent="0.25">
      <c r="A11" s="20" t="s">
        <v>259</v>
      </c>
      <c r="B11" s="21"/>
    </row>
    <row r="12" spans="1:9" x14ac:dyDescent="0.25">
      <c r="A12" s="23" t="s">
        <v>276</v>
      </c>
      <c r="B12" s="23" t="s">
        <v>257</v>
      </c>
    </row>
    <row r="13" spans="1:9" x14ac:dyDescent="0.25">
      <c r="A13" s="13" t="s">
        <v>13</v>
      </c>
      <c r="B13" s="24">
        <v>378777.27</v>
      </c>
      <c r="C13" s="42" t="s">
        <v>277</v>
      </c>
    </row>
    <row r="14" spans="1:9" x14ac:dyDescent="0.25">
      <c r="A14" s="13" t="s">
        <v>19</v>
      </c>
      <c r="B14" s="24">
        <v>331006.07</v>
      </c>
      <c r="C14" s="42" t="s">
        <v>278</v>
      </c>
    </row>
    <row r="15" spans="1:9" x14ac:dyDescent="0.25">
      <c r="A15" s="13" t="s">
        <v>9</v>
      </c>
      <c r="B15" s="24">
        <v>322217.59999999992</v>
      </c>
    </row>
    <row r="16" spans="1:9" x14ac:dyDescent="0.25">
      <c r="A16" s="13" t="s">
        <v>52</v>
      </c>
      <c r="B16" s="24">
        <v>286853.40999999992</v>
      </c>
    </row>
    <row r="17" spans="1:11" x14ac:dyDescent="0.25">
      <c r="A17" s="13" t="s">
        <v>40</v>
      </c>
      <c r="B17" s="24">
        <v>363675.03</v>
      </c>
    </row>
    <row r="18" spans="1:11" x14ac:dyDescent="0.25">
      <c r="A18" s="25" t="s">
        <v>251</v>
      </c>
      <c r="B18" s="26">
        <v>1682529.3799999994</v>
      </c>
    </row>
    <row r="19" spans="1:11" x14ac:dyDescent="0.25">
      <c r="K19" s="42" t="s">
        <v>272</v>
      </c>
    </row>
    <row r="20" spans="1:11" x14ac:dyDescent="0.25">
      <c r="K20" s="42" t="s">
        <v>273</v>
      </c>
    </row>
    <row r="21" spans="1:11" x14ac:dyDescent="0.25">
      <c r="A21" s="27" t="s">
        <v>258</v>
      </c>
      <c r="B21" s="28"/>
      <c r="K21" s="42" t="s">
        <v>274</v>
      </c>
    </row>
    <row r="22" spans="1:11" x14ac:dyDescent="0.25">
      <c r="A22" s="22" t="s">
        <v>249</v>
      </c>
      <c r="B22" s="22" t="s">
        <v>253</v>
      </c>
      <c r="K22" s="42" t="s">
        <v>275</v>
      </c>
    </row>
    <row r="23" spans="1:11" x14ac:dyDescent="0.25">
      <c r="A23" s="13" t="s">
        <v>20</v>
      </c>
      <c r="B23" s="24">
        <v>123875.68</v>
      </c>
    </row>
    <row r="24" spans="1:11" x14ac:dyDescent="0.25">
      <c r="A24" s="13" t="s">
        <v>97</v>
      </c>
      <c r="B24" s="24">
        <v>113966.45000000001</v>
      </c>
    </row>
    <row r="25" spans="1:11" x14ac:dyDescent="0.25">
      <c r="A25" s="13" t="s">
        <v>64</v>
      </c>
      <c r="B25" s="24">
        <v>103668.4</v>
      </c>
    </row>
    <row r="26" spans="1:11" x14ac:dyDescent="0.25">
      <c r="A26" s="13" t="s">
        <v>45</v>
      </c>
      <c r="B26" s="24">
        <v>98081.2</v>
      </c>
    </row>
    <row r="27" spans="1:11" x14ac:dyDescent="0.25">
      <c r="A27" s="13" t="s">
        <v>53</v>
      </c>
      <c r="B27" s="24">
        <v>96954.319999999978</v>
      </c>
    </row>
    <row r="28" spans="1:11" x14ac:dyDescent="0.25">
      <c r="A28" s="13" t="s">
        <v>17</v>
      </c>
      <c r="B28" s="24">
        <v>96861.24</v>
      </c>
    </row>
    <row r="29" spans="1:11" x14ac:dyDescent="0.25">
      <c r="A29" s="13" t="s">
        <v>85</v>
      </c>
      <c r="B29" s="24">
        <v>83945.190000000017</v>
      </c>
    </row>
    <row r="30" spans="1:11" x14ac:dyDescent="0.25">
      <c r="A30" s="13" t="s">
        <v>14</v>
      </c>
      <c r="B30" s="24">
        <v>80736.240000000005</v>
      </c>
    </row>
    <row r="31" spans="1:11" x14ac:dyDescent="0.25">
      <c r="A31" s="13" t="s">
        <v>61</v>
      </c>
      <c r="B31" s="24">
        <v>79228.72</v>
      </c>
      <c r="J31" s="42" t="s">
        <v>279</v>
      </c>
    </row>
    <row r="32" spans="1:11" x14ac:dyDescent="0.25">
      <c r="A32" s="13" t="s">
        <v>28</v>
      </c>
      <c r="B32" s="24">
        <v>77237.009999999995</v>
      </c>
    </row>
    <row r="33" spans="1:2" x14ac:dyDescent="0.25">
      <c r="A33" s="13" t="s">
        <v>25</v>
      </c>
      <c r="B33" s="24">
        <v>75182.819999999992</v>
      </c>
    </row>
    <row r="34" spans="1:2" x14ac:dyDescent="0.25">
      <c r="A34" s="13" t="s">
        <v>43</v>
      </c>
      <c r="B34" s="24">
        <v>67900.55</v>
      </c>
    </row>
    <row r="35" spans="1:2" x14ac:dyDescent="0.25">
      <c r="A35" s="13" t="s">
        <v>75</v>
      </c>
      <c r="B35" s="24">
        <v>66876.84</v>
      </c>
    </row>
    <row r="36" spans="1:2" x14ac:dyDescent="0.25">
      <c r="A36" s="13" t="s">
        <v>70</v>
      </c>
      <c r="B36" s="24">
        <v>64679.72</v>
      </c>
    </row>
    <row r="37" spans="1:2" x14ac:dyDescent="0.25">
      <c r="A37" s="13" t="s">
        <v>10</v>
      </c>
      <c r="B37" s="24">
        <v>53941.649999999994</v>
      </c>
    </row>
    <row r="38" spans="1:2" x14ac:dyDescent="0.25">
      <c r="A38" s="13" t="s">
        <v>23</v>
      </c>
      <c r="B38" s="24">
        <v>53726.02</v>
      </c>
    </row>
    <row r="39" spans="1:2" x14ac:dyDescent="0.25">
      <c r="A39" s="13" t="s">
        <v>56</v>
      </c>
      <c r="B39" s="24">
        <v>50658.95</v>
      </c>
    </row>
    <row r="40" spans="1:2" x14ac:dyDescent="0.25">
      <c r="A40" s="13" t="s">
        <v>102</v>
      </c>
      <c r="B40" s="24">
        <v>47955.570000000007</v>
      </c>
    </row>
    <row r="41" spans="1:2" x14ac:dyDescent="0.25">
      <c r="A41" s="13" t="s">
        <v>30</v>
      </c>
      <c r="B41" s="24">
        <v>46852.44</v>
      </c>
    </row>
    <row r="42" spans="1:2" x14ac:dyDescent="0.25">
      <c r="A42" s="13" t="s">
        <v>32</v>
      </c>
      <c r="B42" s="24">
        <v>46144.88</v>
      </c>
    </row>
    <row r="43" spans="1:2" x14ac:dyDescent="0.25">
      <c r="A43" s="13" t="s">
        <v>47</v>
      </c>
      <c r="B43" s="24">
        <v>40382.649999999994</v>
      </c>
    </row>
    <row r="44" spans="1:2" x14ac:dyDescent="0.25">
      <c r="A44" s="13" t="s">
        <v>41</v>
      </c>
      <c r="B44" s="24">
        <v>37740.200000000004</v>
      </c>
    </row>
    <row r="45" spans="1:2" x14ac:dyDescent="0.25">
      <c r="A45" s="13" t="s">
        <v>82</v>
      </c>
      <c r="B45" s="24">
        <v>28260.71</v>
      </c>
    </row>
    <row r="46" spans="1:2" x14ac:dyDescent="0.25">
      <c r="A46" s="13" t="s">
        <v>72</v>
      </c>
      <c r="B46" s="24">
        <v>25730.46</v>
      </c>
    </row>
    <row r="47" spans="1:2" x14ac:dyDescent="0.25">
      <c r="A47" s="13" t="s">
        <v>66</v>
      </c>
      <c r="B47" s="24">
        <v>21941.469999999998</v>
      </c>
    </row>
    <row r="48" spans="1:2" x14ac:dyDescent="0.25">
      <c r="A48" s="25" t="s">
        <v>251</v>
      </c>
      <c r="B48" s="26">
        <v>1682529.3799999997</v>
      </c>
    </row>
    <row r="52" spans="1:2" x14ac:dyDescent="0.25">
      <c r="A52" s="27" t="s">
        <v>260</v>
      </c>
      <c r="B52" s="28"/>
    </row>
    <row r="53" spans="1:2" x14ac:dyDescent="0.25">
      <c r="A53" s="22" t="s">
        <v>249</v>
      </c>
      <c r="B53" s="22" t="s">
        <v>253</v>
      </c>
    </row>
    <row r="54" spans="1:2" x14ac:dyDescent="0.25">
      <c r="A54" s="13" t="s">
        <v>16</v>
      </c>
      <c r="B54" s="24">
        <v>393873.35999999987</v>
      </c>
    </row>
    <row r="55" spans="1:2" x14ac:dyDescent="0.25">
      <c r="A55" s="13" t="s">
        <v>37</v>
      </c>
      <c r="B55" s="24">
        <v>269825.89</v>
      </c>
    </row>
    <row r="56" spans="1:2" x14ac:dyDescent="0.25">
      <c r="A56" s="13" t="s">
        <v>8</v>
      </c>
      <c r="B56" s="24">
        <v>253127.40999999997</v>
      </c>
    </row>
    <row r="57" spans="1:2" x14ac:dyDescent="0.25">
      <c r="A57" s="13" t="s">
        <v>12</v>
      </c>
      <c r="B57" s="24">
        <v>224412.32999999993</v>
      </c>
    </row>
    <row r="58" spans="1:2" x14ac:dyDescent="0.25">
      <c r="A58" s="13" t="s">
        <v>27</v>
      </c>
      <c r="B58" s="24">
        <v>211961.68999999994</v>
      </c>
    </row>
    <row r="59" spans="1:2" x14ac:dyDescent="0.25">
      <c r="A59" s="13" t="s">
        <v>22</v>
      </c>
      <c r="B59" s="24">
        <v>174265.12</v>
      </c>
    </row>
    <row r="60" spans="1:2" x14ac:dyDescent="0.25">
      <c r="A60" s="13" t="s">
        <v>63</v>
      </c>
      <c r="B60" s="24">
        <v>155063.57999999999</v>
      </c>
    </row>
    <row r="61" spans="1:2" x14ac:dyDescent="0.25">
      <c r="A61" s="25" t="s">
        <v>251</v>
      </c>
      <c r="B61" s="45">
        <v>1682529.3799999994</v>
      </c>
    </row>
    <row r="64" spans="1:2" x14ac:dyDescent="0.25">
      <c r="A64" s="20" t="s">
        <v>271</v>
      </c>
      <c r="B64" s="21"/>
    </row>
    <row r="65" spans="1:9" x14ac:dyDescent="0.25">
      <c r="A65" s="54" t="s">
        <v>261</v>
      </c>
      <c r="B65" s="55" t="s">
        <v>253</v>
      </c>
      <c r="D65" s="42" t="s">
        <v>280</v>
      </c>
    </row>
    <row r="66" spans="1:9" x14ac:dyDescent="0.25">
      <c r="A66" s="52" t="s">
        <v>262</v>
      </c>
      <c r="B66" s="53">
        <v>500566.63</v>
      </c>
    </row>
    <row r="67" spans="1:9" x14ac:dyDescent="0.25">
      <c r="A67" s="13" t="s">
        <v>261</v>
      </c>
      <c r="B67" s="24">
        <v>1181962.75</v>
      </c>
    </row>
    <row r="68" spans="1:9" x14ac:dyDescent="0.25">
      <c r="A68" s="44" t="s">
        <v>251</v>
      </c>
      <c r="B68" s="45">
        <v>1682529.38</v>
      </c>
    </row>
    <row r="72" spans="1:9" x14ac:dyDescent="0.25">
      <c r="A72" s="20" t="s">
        <v>270</v>
      </c>
      <c r="B72" s="57"/>
      <c r="C72" s="57"/>
      <c r="D72" s="57"/>
      <c r="E72" s="57"/>
      <c r="F72" s="57"/>
      <c r="G72" s="57"/>
      <c r="H72" s="57"/>
      <c r="I72" s="21"/>
    </row>
    <row r="73" spans="1:9" x14ac:dyDescent="0.25">
      <c r="A73" s="22" t="s">
        <v>253</v>
      </c>
      <c r="B73" s="58" t="s">
        <v>263</v>
      </c>
      <c r="C73" s="59" t="s">
        <v>264</v>
      </c>
      <c r="D73" s="59" t="s">
        <v>265</v>
      </c>
      <c r="E73" s="59" t="s">
        <v>266</v>
      </c>
      <c r="F73" s="59" t="s">
        <v>267</v>
      </c>
      <c r="G73" s="59" t="s">
        <v>268</v>
      </c>
      <c r="H73" s="60" t="s">
        <v>269</v>
      </c>
      <c r="I73" s="28"/>
    </row>
    <row r="74" spans="1:9" x14ac:dyDescent="0.25">
      <c r="A74" s="56" t="s">
        <v>261</v>
      </c>
      <c r="B74" s="56">
        <v>1</v>
      </c>
      <c r="C74" s="56">
        <v>2</v>
      </c>
      <c r="D74" s="56">
        <v>3</v>
      </c>
      <c r="E74" s="56">
        <v>4</v>
      </c>
      <c r="F74" s="56">
        <v>5</v>
      </c>
      <c r="G74" s="56">
        <v>6</v>
      </c>
      <c r="H74" s="56">
        <v>7</v>
      </c>
      <c r="I74" s="56" t="s">
        <v>251</v>
      </c>
    </row>
    <row r="75" spans="1:9" x14ac:dyDescent="0.25">
      <c r="A75" s="13" t="s">
        <v>262</v>
      </c>
      <c r="B75" s="61">
        <v>125557.84</v>
      </c>
      <c r="C75" s="24">
        <v>51175.8</v>
      </c>
      <c r="D75" s="24">
        <v>58599.86</v>
      </c>
      <c r="E75" s="62">
        <v>33040.65</v>
      </c>
      <c r="F75" s="24">
        <v>56169.590000000004</v>
      </c>
      <c r="G75" s="24">
        <v>79514.600000000006</v>
      </c>
      <c r="H75" s="61">
        <v>96508.290000000008</v>
      </c>
      <c r="I75" s="24">
        <v>500566.63000000012</v>
      </c>
    </row>
    <row r="76" spans="1:9" x14ac:dyDescent="0.25">
      <c r="A76" s="13" t="s">
        <v>261</v>
      </c>
      <c r="B76" s="24">
        <v>115438.61</v>
      </c>
      <c r="C76" s="24">
        <v>152980.56</v>
      </c>
      <c r="D76" s="24">
        <v>135126.54</v>
      </c>
      <c r="E76" s="62">
        <v>44258.590000000004</v>
      </c>
      <c r="F76" s="24">
        <v>181721.19</v>
      </c>
      <c r="G76" s="61">
        <v>293062.98</v>
      </c>
      <c r="H76" s="61">
        <v>259374.28</v>
      </c>
      <c r="I76" s="24">
        <v>1181962.75</v>
      </c>
    </row>
    <row r="77" spans="1:9" x14ac:dyDescent="0.25">
      <c r="A77" s="25" t="s">
        <v>251</v>
      </c>
      <c r="B77" s="45">
        <v>240996.45</v>
      </c>
      <c r="C77" s="45">
        <v>204156.36</v>
      </c>
      <c r="D77" s="45">
        <v>193726.40000000002</v>
      </c>
      <c r="E77" s="45">
        <v>77299.240000000005</v>
      </c>
      <c r="F77" s="45">
        <v>237890.78</v>
      </c>
      <c r="G77" s="45">
        <v>372577.57999999996</v>
      </c>
      <c r="H77" s="45">
        <v>355882.57</v>
      </c>
      <c r="I77" s="45">
        <v>1682529.3800000001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FA0CD-D52C-4589-B33B-33ACDEBEDEE0}">
  <dimension ref="A2:N121"/>
  <sheetViews>
    <sheetView showGridLines="0" tabSelected="1" topLeftCell="A86" workbookViewId="0">
      <selection activeCell="M96" sqref="M96:N96"/>
    </sheetView>
  </sheetViews>
  <sheetFormatPr defaultRowHeight="15" x14ac:dyDescent="0.25"/>
  <cols>
    <col min="9" max="9" width="7" bestFit="1" customWidth="1"/>
    <col min="10" max="10" width="10.7109375" bestFit="1" customWidth="1"/>
  </cols>
  <sheetData>
    <row r="2" spans="1:14" x14ac:dyDescent="0.25">
      <c r="A2" s="42"/>
    </row>
    <row r="3" spans="1:14" ht="23.25" x14ac:dyDescent="0.35">
      <c r="A3" s="67" t="s">
        <v>282</v>
      </c>
    </row>
    <row r="4" spans="1:14" x14ac:dyDescent="0.25">
      <c r="A4" s="42"/>
    </row>
    <row r="5" spans="1:14" ht="18.75" x14ac:dyDescent="0.3">
      <c r="A5" s="68" t="s">
        <v>283</v>
      </c>
    </row>
    <row r="6" spans="1:14" ht="18.75" x14ac:dyDescent="0.3">
      <c r="A6" s="68"/>
    </row>
    <row r="7" spans="1:14" x14ac:dyDescent="0.25">
      <c r="A7" s="42" t="s">
        <v>284</v>
      </c>
    </row>
    <row r="8" spans="1:14" x14ac:dyDescent="0.25">
      <c r="A8" s="42" t="s">
        <v>285</v>
      </c>
    </row>
    <row r="9" spans="1:14" x14ac:dyDescent="0.25">
      <c r="A9" s="42" t="s">
        <v>286</v>
      </c>
    </row>
    <row r="10" spans="1:14" x14ac:dyDescent="0.25">
      <c r="A10" s="42" t="s">
        <v>287</v>
      </c>
    </row>
    <row r="11" spans="1:14" x14ac:dyDescent="0.25">
      <c r="A11" s="42" t="s">
        <v>288</v>
      </c>
    </row>
    <row r="12" spans="1:14" x14ac:dyDescent="0.25">
      <c r="A12" s="42"/>
    </row>
    <row r="16" spans="1:14" x14ac:dyDescent="0.25">
      <c r="M16" s="69" t="s">
        <v>312</v>
      </c>
      <c r="N16" s="70"/>
    </row>
    <row r="17" spans="1:13" x14ac:dyDescent="0.25">
      <c r="M17" s="42" t="s">
        <v>313</v>
      </c>
    </row>
    <row r="18" spans="1:13" x14ac:dyDescent="0.25">
      <c r="M18" s="42" t="s">
        <v>314</v>
      </c>
    </row>
    <row r="25" spans="1:13" x14ac:dyDescent="0.25">
      <c r="A25" s="42"/>
    </row>
    <row r="29" spans="1:13" x14ac:dyDescent="0.25">
      <c r="C29" s="65" t="s">
        <v>290</v>
      </c>
      <c r="D29" s="63" t="s">
        <v>291</v>
      </c>
      <c r="E29" s="65" t="s">
        <v>295</v>
      </c>
      <c r="F29" s="63" t="s">
        <v>292</v>
      </c>
      <c r="G29" s="63" t="s">
        <v>293</v>
      </c>
      <c r="H29" s="63" t="s">
        <v>294</v>
      </c>
      <c r="I29" s="63" t="s">
        <v>294</v>
      </c>
      <c r="J29" s="65" t="s">
        <v>251</v>
      </c>
    </row>
    <row r="30" spans="1:13" x14ac:dyDescent="0.25">
      <c r="A30" s="42" t="s">
        <v>289</v>
      </c>
      <c r="C30" s="65">
        <v>182</v>
      </c>
      <c r="D30" s="64">
        <v>196</v>
      </c>
      <c r="E30" s="65">
        <v>190</v>
      </c>
      <c r="F30" s="64">
        <v>167</v>
      </c>
      <c r="G30" s="64">
        <v>187</v>
      </c>
      <c r="H30" s="64">
        <v>187</v>
      </c>
      <c r="I30" s="64">
        <v>52</v>
      </c>
      <c r="J30" s="66">
        <v>1161</v>
      </c>
    </row>
    <row r="32" spans="1:13" ht="18.75" x14ac:dyDescent="0.3">
      <c r="A32" s="68" t="s">
        <v>296</v>
      </c>
    </row>
    <row r="33" spans="1:13" x14ac:dyDescent="0.25">
      <c r="A33" s="42" t="s">
        <v>298</v>
      </c>
    </row>
    <row r="34" spans="1:13" x14ac:dyDescent="0.25">
      <c r="A34" s="42" t="s">
        <v>297</v>
      </c>
    </row>
    <row r="38" spans="1:13" x14ac:dyDescent="0.25">
      <c r="L38" s="69" t="s">
        <v>312</v>
      </c>
      <c r="M38" s="70"/>
    </row>
    <row r="39" spans="1:13" x14ac:dyDescent="0.25">
      <c r="L39" s="42" t="s">
        <v>315</v>
      </c>
    </row>
    <row r="40" spans="1:13" x14ac:dyDescent="0.25">
      <c r="L40" s="42" t="s">
        <v>316</v>
      </c>
    </row>
    <row r="51" spans="1:14" ht="18.75" x14ac:dyDescent="0.3">
      <c r="A51" s="68" t="s">
        <v>299</v>
      </c>
    </row>
    <row r="52" spans="1:14" x14ac:dyDescent="0.25">
      <c r="A52" s="42" t="s">
        <v>300</v>
      </c>
    </row>
    <row r="56" spans="1:14" x14ac:dyDescent="0.25">
      <c r="M56" s="69" t="s">
        <v>312</v>
      </c>
      <c r="N56" s="70"/>
    </row>
    <row r="57" spans="1:14" x14ac:dyDescent="0.25">
      <c r="M57" s="42" t="s">
        <v>317</v>
      </c>
    </row>
    <row r="58" spans="1:14" x14ac:dyDescent="0.25">
      <c r="M58" s="42" t="s">
        <v>318</v>
      </c>
    </row>
    <row r="59" spans="1:14" x14ac:dyDescent="0.25">
      <c r="M59" s="42" t="s">
        <v>319</v>
      </c>
    </row>
    <row r="69" spans="1:14" ht="18.75" x14ac:dyDescent="0.3">
      <c r="A69" s="68" t="s">
        <v>301</v>
      </c>
    </row>
    <row r="70" spans="1:14" x14ac:dyDescent="0.25">
      <c r="A70" s="42" t="s">
        <v>302</v>
      </c>
    </row>
    <row r="73" spans="1:14" x14ac:dyDescent="0.25">
      <c r="M73" s="69" t="s">
        <v>320</v>
      </c>
      <c r="N73" s="70"/>
    </row>
    <row r="74" spans="1:14" x14ac:dyDescent="0.25">
      <c r="M74" s="42" t="s">
        <v>321</v>
      </c>
    </row>
    <row r="75" spans="1:14" x14ac:dyDescent="0.25">
      <c r="M75" s="42" t="s">
        <v>322</v>
      </c>
    </row>
    <row r="89" spans="1:14" ht="18.75" x14ac:dyDescent="0.3">
      <c r="A89" s="68" t="s">
        <v>303</v>
      </c>
    </row>
    <row r="96" spans="1:14" x14ac:dyDescent="0.25">
      <c r="M96" s="69" t="s">
        <v>312</v>
      </c>
      <c r="N96" s="70"/>
    </row>
    <row r="97" spans="1:13" x14ac:dyDescent="0.25">
      <c r="M97" s="42" t="s">
        <v>323</v>
      </c>
    </row>
    <row r="98" spans="1:13" x14ac:dyDescent="0.25">
      <c r="M98" s="42" t="s">
        <v>324</v>
      </c>
    </row>
    <row r="111" spans="1:13" ht="18.75" x14ac:dyDescent="0.3">
      <c r="A111" s="68" t="s">
        <v>281</v>
      </c>
    </row>
    <row r="112" spans="1:13" x14ac:dyDescent="0.25">
      <c r="A112" s="42" t="s">
        <v>304</v>
      </c>
    </row>
    <row r="113" spans="1:1" x14ac:dyDescent="0.25">
      <c r="A113" s="42" t="s">
        <v>305</v>
      </c>
    </row>
    <row r="114" spans="1:1" x14ac:dyDescent="0.25">
      <c r="A114" s="42" t="s">
        <v>306</v>
      </c>
    </row>
    <row r="115" spans="1:1" x14ac:dyDescent="0.25">
      <c r="A115" s="42" t="s">
        <v>307</v>
      </c>
    </row>
    <row r="118" spans="1:1" ht="18.75" x14ac:dyDescent="0.3">
      <c r="A118" s="68" t="s">
        <v>308</v>
      </c>
    </row>
    <row r="119" spans="1:1" x14ac:dyDescent="0.25">
      <c r="A119" s="42" t="s">
        <v>309</v>
      </c>
    </row>
    <row r="120" spans="1:1" x14ac:dyDescent="0.25">
      <c r="A120" s="42" t="s">
        <v>310</v>
      </c>
    </row>
    <row r="121" spans="1:1" x14ac:dyDescent="0.25">
      <c r="A121" s="42" t="s">
        <v>311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Sheet1</vt:lpstr>
      <vt:lpstr>Tabela Dinâmica</vt:lpstr>
      <vt:lpstr>Planilha8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Pichau</dc:creator>
  <cp:lastModifiedBy>Felipe Reis</cp:lastModifiedBy>
  <dcterms:created xsi:type="dcterms:W3CDTF">2025-06-12T01:30:29Z</dcterms:created>
  <dcterms:modified xsi:type="dcterms:W3CDTF">2026-04-07T20:57:37Z</dcterms:modified>
</cp:coreProperties>
</file>