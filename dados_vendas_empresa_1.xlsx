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626EE708-F64D-4039-9875-F2C30A0E30D0}" xr6:coauthVersionLast="47" xr6:coauthVersionMax="47" xr10:uidLastSave="{00000000-0000-0000-0000-000000000000}"/>
  <bookViews>
    <workbookView xWindow="28680" yWindow="1035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QodQ+ntR53NLGam+eGu7VxPI2r7Nu2bUtwFX6nwUtF8=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</calcChain>
</file>

<file path=xl/sharedStrings.xml><?xml version="1.0" encoding="utf-8"?>
<sst xmlns="http://schemas.openxmlformats.org/spreadsheetml/2006/main" count="815" uniqueCount="249">
  <si>
    <t>Data da Venda</t>
  </si>
  <si>
    <t>ID do Cliente</t>
  </si>
  <si>
    <t>Nome do Cliente</t>
  </si>
  <si>
    <t>Estado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</si>
  <si>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</si>
  <si>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</si>
  <si>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</si>
  <si>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</si>
  <si>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</si>
  <si>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</si>
  <si>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</si>
  <si>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</si>
  <si>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</si>
  <si>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</si>
  <si>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</si>
  <si>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</si>
  <si>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</si>
  <si>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</si>
  <si>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</si>
  <si>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</si>
  <si>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</si>
  <si>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</si>
  <si>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</si>
  <si>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</si>
  <si>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</si>
  <si>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</si>
  <si>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</si>
  <si>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</si>
  <si>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</si>
  <si>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</si>
  <si>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</si>
  <si>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</si>
  <si>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</si>
  <si>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</si>
  <si>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</si>
  <si>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</si>
  <si>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</si>
  <si>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</si>
  <si>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</si>
  <si>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</si>
  <si>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</si>
  <si>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</si>
  <si>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</si>
  <si>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</si>
  <si>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</si>
  <si>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</si>
  <si>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</si>
  <si>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</si>
  <si>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</si>
  <si>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</si>
  <si>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</si>
  <si>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</si>
  <si>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</si>
  <si>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</si>
  <si>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</si>
  <si>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</si>
  <si>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</si>
  <si>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</si>
  <si>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</si>
  <si>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</si>
  <si>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</si>
  <si>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</si>
  <si>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</si>
  <si>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</si>
  <si>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</si>
  <si>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</si>
  <si>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</si>
  <si>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</si>
  <si>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</si>
  <si>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</si>
  <si>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</si>
  <si>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</si>
  <si>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</si>
  <si>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</si>
  <si>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</si>
  <si>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</si>
  <si>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</si>
  <si>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</si>
  <si>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</si>
  <si>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</si>
  <si>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</si>
  <si>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</si>
  <si>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</si>
  <si>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</si>
  <si>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</si>
  <si>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</si>
  <si>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</si>
  <si>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</si>
  <si>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</si>
  <si>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</si>
  <si>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</si>
  <si>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</si>
  <si>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</si>
  <si>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</si>
  <si>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</si>
  <si>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</si>
  <si>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</si>
  <si>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</si>
  <si>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</si>
  <si>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</si>
  <si>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</si>
  <si>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</si>
  <si>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</si>
  <si>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</si>
  <si>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</si>
  <si>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</si>
  <si>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</si>
  <si>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</si>
  <si>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</si>
  <si>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</si>
  <si>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</si>
  <si>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</si>
  <si>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</si>
  <si>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</si>
  <si>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</si>
  <si>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</si>
  <si>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</si>
  <si>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</si>
  <si>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</si>
  <si>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</si>
  <si>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</si>
  <si>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</si>
  <si>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</si>
  <si>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</si>
  <si>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</si>
  <si>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</si>
  <si>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</si>
  <si>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</si>
  <si>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</si>
  <si>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</si>
  <si>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</si>
  <si>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</si>
  <si>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</si>
  <si>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</si>
  <si>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</si>
  <si>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</si>
  <si>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</si>
  <si>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</si>
  <si>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</si>
  <si>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</si>
  <si>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</si>
  <si>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</si>
  <si>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</si>
  <si>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</si>
  <si>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</si>
  <si>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</si>
  <si>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</si>
  <si>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</si>
  <si>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</si>
  <si>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</si>
  <si>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</si>
  <si>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</si>
  <si>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</si>
  <si>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</si>
  <si>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</si>
  <si>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</si>
  <si>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</si>
  <si>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</si>
  <si>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</si>
  <si>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</si>
  <si>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</si>
  <si>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</si>
  <si>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</si>
  <si>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</si>
  <si>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</si>
  <si>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</si>
  <si>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</si>
  <si>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</si>
  <si>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</si>
  <si>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</si>
  <si>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</si>
  <si>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</si>
  <si>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</si>
  <si>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</si>
  <si>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</si>
  <si>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</si>
  <si>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</si>
  <si>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</si>
  <si>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</si>
  <si>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</si>
  <si>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</si>
  <si>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</si>
  <si>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</si>
  <si>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</si>
  <si>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</si>
  <si>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</si>
  <si>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</si>
  <si>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</si>
  <si>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</si>
  <si>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</si>
  <si>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</si>
  <si>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</si>
  <si>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</si>
  <si>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</si>
  <si>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</si>
  <si>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</si>
  <si>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</si>
  <si>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</si>
  <si>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</si>
  <si>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</si>
  <si>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</si>
  <si>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</si>
  <si>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</si>
  <si>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</si>
  <si>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</si>
  <si>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</si>
  <si>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</si>
  <si>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</si>
  <si>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</si>
  <si>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</si>
  <si>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</si>
  <si>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</si>
  <si>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</si>
  <si>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</si>
  <si>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</si>
  <si>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</si>
  <si>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</si>
  <si>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</si>
  <si>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</si>
  <si>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</si>
  <si>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</si>
  <si>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</si>
  <si>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</si>
  <si>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</si>
  <si>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</si>
  <si>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</si>
  <si>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</si>
  <si>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</si>
  <si>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</si>
  <si>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</si>
  <si>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</si>
  <si>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</si>
  <si>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</si>
  <si>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</si>
  <si>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</si>
  <si>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</si>
  <si>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</si>
  <si>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</si>
  <si>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</si>
  <si>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</si>
  <si>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</si>
  <si>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</si>
  <si>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</si>
  <si>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ANO</t>
  </si>
  <si>
    <t>MÊS</t>
  </si>
  <si>
    <t>DIA</t>
  </si>
  <si>
    <t>DIA  DA SEMANA</t>
  </si>
  <si>
    <t>LUCRO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</si>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</sst>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1" fontId="3" fillId="0" borderId="0" xfId="0" applyNumberFormat="1" applyFont="1"/>
    <xf numFmtId="49" fontId="3" fillId="0" borderId="0" xfId="0" applyNumberFormat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ont="1" applyAlignment="1"/>
    <xf numFmtId="12" fontId="3" fillId="0" borderId="0" xfId="0" applyNumberFormat="1" applyFont="1"/>
    <xf numFmtId="164" fontId="3" fillId="0" borderId="0" xfId="0" applyNumberFormat="1" applyFont="1"/>
    <xf numFmtId="0" fontId="1" fillId="0" borderId="2" xfId="0" applyFont="1" applyFill="1" applyBorder="1" applyAlignment="1">
      <alignment horizontal="center" vertical="top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P2" sqref="P2"/>
    </sheetView>
  </sheetViews>
  <sheetFormatPr defaultColWidth="14.42578125" defaultRowHeight="15" customHeight="1" x14ac:dyDescent="0.25"/>
  <cols>
    <col min="1" max="1" width="13.85546875" bestFit="1" customWidth="1"/>
    <col min="2" max="2" width="12.42578125" bestFit="1" customWidth="1"/>
    <col min="3" max="3" width="25.85546875" bestFit="1" customWidth="1"/>
    <col min="4" max="4" width="6.85546875" style="6" bestFit="1" customWidth="1"/>
    <col min="5" max="5" width="11.140625" style="6" bestFit="1" customWidth="1"/>
    <col min="6" max="6" width="16.7109375" style="6" bestFit="1" customWidth="1"/>
    <col min="7" max="7" width="11.42578125" bestFit="1" customWidth="1"/>
    <col min="8" max="8" width="13.85546875" bestFit="1" customWidth="1"/>
    <col min="9" max="9" width="14.28515625" customWidth="1"/>
    <col min="10" max="10" width="11.28515625" customWidth="1"/>
    <col min="11" max="11" width="6.7109375" customWidth="1"/>
    <col min="12" max="12" width="6.85546875" customWidth="1"/>
    <col min="13" max="13" width="16" bestFit="1" customWidth="1"/>
    <col min="14" max="14" width="11.7109375" bestFit="1" customWidth="1"/>
    <col min="15" max="15" width="10.7109375" bestFit="1" customWidth="1"/>
    <col min="16" max="23" width="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3</v>
      </c>
      <c r="F1" s="5" t="s">
        <v>3</v>
      </c>
      <c r="G1" s="1" t="s">
        <v>4</v>
      </c>
      <c r="H1" s="1" t="s">
        <v>5</v>
      </c>
      <c r="I1" s="1" t="s">
        <v>6</v>
      </c>
      <c r="J1" s="9" t="s">
        <v>243</v>
      </c>
      <c r="K1" s="9" t="s">
        <v>244</v>
      </c>
      <c r="L1" s="9" t="s">
        <v>245</v>
      </c>
      <c r="M1" s="9" t="s">
        <v>246</v>
      </c>
      <c r="N1" s="9" t="s">
        <v>247</v>
      </c>
      <c r="O1" s="9" t="s">
        <v>248</v>
      </c>
    </row>
    <row r="2" spans="1:15" x14ac:dyDescent="0.25">
      <c r="A2" s="2">
        <v>45702</v>
      </c>
      <c r="B2" s="3">
        <v>5627</v>
      </c>
      <c r="C2" s="4" t="s">
        <v>7</v>
      </c>
      <c r="D2" s="4" t="s">
        <v>8</v>
      </c>
      <c r="E2" s="4" t="s">
        <v>9</v>
      </c>
      <c r="F2" s="4" t="s">
        <v>10</v>
      </c>
      <c r="G2" s="7">
        <v>3</v>
      </c>
      <c r="H2" s="8">
        <v>390.42</v>
      </c>
      <c r="I2" s="8">
        <f>G2*H2</f>
        <v>1171.26</v>
      </c>
      <c r="J2">
        <f>YEAR(A2)</f>
        <v>2025</v>
      </c>
      <c r="K2">
        <f>MONTH(A2)</f>
        <v>2</v>
      </c>
      <c r="L2">
        <f>DAY(A2)</f>
        <v>14</v>
      </c>
      <c r="M2">
        <f>WEEKDAY(A2)</f>
        <v>6</v>
      </c>
      <c r="N2" s="10">
        <f>I2*0.4</f>
        <v>468.50400000000002</v>
      </c>
      <c r="O2" s="10">
        <f>I2*0.1</f>
        <v>117.126</v>
      </c>
    </row>
    <row r="3" spans="1:15" x14ac:dyDescent="0.25">
      <c r="A3" s="2">
        <v>45766</v>
      </c>
      <c r="B3" s="3">
        <v>1368</v>
      </c>
      <c r="C3" s="4" t="s">
        <v>11</v>
      </c>
      <c r="D3" s="4" t="s">
        <v>12</v>
      </c>
      <c r="E3" s="4" t="s">
        <v>13</v>
      </c>
      <c r="F3" s="4" t="s">
        <v>14</v>
      </c>
      <c r="G3" s="7">
        <v>2</v>
      </c>
      <c r="H3" s="8">
        <v>1793.52</v>
      </c>
      <c r="I3" s="8">
        <f t="shared" ref="I3:I66" si="0">G3*H3</f>
        <v>3587.04</v>
      </c>
      <c r="J3">
        <f t="shared" ref="J3:J66" si="1">YEAR(A3)</f>
        <v>2025</v>
      </c>
      <c r="K3">
        <f t="shared" ref="K3:K66" si="2">MONTH(A3)</f>
        <v>4</v>
      </c>
      <c r="L3">
        <f t="shared" ref="L3:L66" si="3">DAY(A3)</f>
        <v>19</v>
      </c>
      <c r="M3">
        <f t="shared" ref="M3:M66" si="4">WEEKDAY(A3)</f>
        <v>7</v>
      </c>
      <c r="N3" s="10">
        <f t="shared" ref="N3:N66" si="5">I3*0.4</f>
        <v>1434.816</v>
      </c>
      <c r="O3" s="10">
        <f t="shared" ref="O3:O66" si="6">I3*0.1</f>
        <v>358.70400000000001</v>
      </c>
    </row>
    <row r="4" spans="1:15" x14ac:dyDescent="0.25">
      <c r="A4" s="2">
        <v>45788</v>
      </c>
      <c r="B4" s="3">
        <v>3170</v>
      </c>
      <c r="C4" s="4" t="s">
        <v>15</v>
      </c>
      <c r="D4" s="4" t="s">
        <v>16</v>
      </c>
      <c r="E4" s="4" t="s">
        <v>13</v>
      </c>
      <c r="F4" s="4" t="s">
        <v>17</v>
      </c>
      <c r="G4" s="7">
        <v>9</v>
      </c>
      <c r="H4" s="8">
        <v>1610.73</v>
      </c>
      <c r="I4" s="8">
        <f t="shared" si="0"/>
        <v>14496.57</v>
      </c>
      <c r="J4">
        <f t="shared" si="1"/>
        <v>2025</v>
      </c>
      <c r="K4">
        <f t="shared" si="2"/>
        <v>5</v>
      </c>
      <c r="L4">
        <f t="shared" si="3"/>
        <v>11</v>
      </c>
      <c r="M4">
        <f t="shared" si="4"/>
        <v>1</v>
      </c>
      <c r="N4" s="10">
        <f t="shared" si="5"/>
        <v>5798.6280000000006</v>
      </c>
      <c r="O4" s="10">
        <f t="shared" si="6"/>
        <v>1449.6570000000002</v>
      </c>
    </row>
    <row r="5" spans="1:15" x14ac:dyDescent="0.25">
      <c r="A5" s="2">
        <v>45670</v>
      </c>
      <c r="B5" s="3">
        <v>7689</v>
      </c>
      <c r="C5" s="4" t="s">
        <v>18</v>
      </c>
      <c r="D5" s="4" t="s">
        <v>12</v>
      </c>
      <c r="E5" s="4" t="s">
        <v>19</v>
      </c>
      <c r="F5" s="4" t="s">
        <v>20</v>
      </c>
      <c r="G5" s="7">
        <v>8</v>
      </c>
      <c r="H5" s="8">
        <v>2391.0700000000002</v>
      </c>
      <c r="I5" s="8">
        <f t="shared" si="0"/>
        <v>19128.560000000001</v>
      </c>
      <c r="J5">
        <f t="shared" si="1"/>
        <v>2025</v>
      </c>
      <c r="K5">
        <f t="shared" si="2"/>
        <v>1</v>
      </c>
      <c r="L5">
        <f t="shared" si="3"/>
        <v>13</v>
      </c>
      <c r="M5">
        <f t="shared" si="4"/>
        <v>2</v>
      </c>
      <c r="N5" s="10">
        <f t="shared" si="5"/>
        <v>7651.4240000000009</v>
      </c>
      <c r="O5" s="10">
        <f t="shared" si="6"/>
        <v>1912.8560000000002</v>
      </c>
    </row>
    <row r="6" spans="1:15" x14ac:dyDescent="0.25">
      <c r="A6" s="2">
        <v>45680</v>
      </c>
      <c r="B6" s="3">
        <v>1722</v>
      </c>
      <c r="C6" s="4" t="s">
        <v>21</v>
      </c>
      <c r="D6" s="4" t="s">
        <v>22</v>
      </c>
      <c r="E6" s="4" t="s">
        <v>19</v>
      </c>
      <c r="F6" s="4" t="s">
        <v>23</v>
      </c>
      <c r="G6" s="7">
        <v>8</v>
      </c>
      <c r="H6" s="8">
        <v>235.34</v>
      </c>
      <c r="I6" s="8">
        <f t="shared" si="0"/>
        <v>1882.72</v>
      </c>
      <c r="J6">
        <f t="shared" si="1"/>
        <v>2025</v>
      </c>
      <c r="K6">
        <f t="shared" si="2"/>
        <v>1</v>
      </c>
      <c r="L6">
        <f t="shared" si="3"/>
        <v>23</v>
      </c>
      <c r="M6">
        <f t="shared" si="4"/>
        <v>5</v>
      </c>
      <c r="N6" s="10">
        <f t="shared" si="5"/>
        <v>753.08800000000008</v>
      </c>
      <c r="O6" s="10">
        <f t="shared" si="6"/>
        <v>188.27200000000002</v>
      </c>
    </row>
    <row r="7" spans="1:15" x14ac:dyDescent="0.25">
      <c r="A7" s="2">
        <v>45754</v>
      </c>
      <c r="B7" s="3">
        <v>1825</v>
      </c>
      <c r="C7" s="4" t="s">
        <v>24</v>
      </c>
      <c r="D7" s="4" t="s">
        <v>22</v>
      </c>
      <c r="E7" s="4" t="s">
        <v>9</v>
      </c>
      <c r="F7" s="4" t="s">
        <v>25</v>
      </c>
      <c r="G7" s="7">
        <v>2</v>
      </c>
      <c r="H7" s="8">
        <v>1489.84</v>
      </c>
      <c r="I7" s="8">
        <f t="shared" si="0"/>
        <v>2979.68</v>
      </c>
      <c r="J7">
        <f t="shared" si="1"/>
        <v>2025</v>
      </c>
      <c r="K7">
        <f t="shared" si="2"/>
        <v>4</v>
      </c>
      <c r="L7">
        <f t="shared" si="3"/>
        <v>7</v>
      </c>
      <c r="M7">
        <f t="shared" si="4"/>
        <v>2</v>
      </c>
      <c r="N7" s="10">
        <f t="shared" si="5"/>
        <v>1191.8720000000001</v>
      </c>
      <c r="O7" s="10">
        <f t="shared" si="6"/>
        <v>297.96800000000002</v>
      </c>
    </row>
    <row r="8" spans="1:15" x14ac:dyDescent="0.25">
      <c r="A8" s="2">
        <v>45816</v>
      </c>
      <c r="B8" s="3">
        <v>5689</v>
      </c>
      <c r="C8" s="4" t="s">
        <v>26</v>
      </c>
      <c r="D8" s="4" t="s">
        <v>27</v>
      </c>
      <c r="E8" s="4" t="s">
        <v>9</v>
      </c>
      <c r="F8" s="4" t="s">
        <v>28</v>
      </c>
      <c r="G8" s="7">
        <v>8</v>
      </c>
      <c r="H8" s="8">
        <v>481.94</v>
      </c>
      <c r="I8" s="8">
        <f t="shared" si="0"/>
        <v>3855.52</v>
      </c>
      <c r="J8">
        <f t="shared" si="1"/>
        <v>2025</v>
      </c>
      <c r="K8">
        <f t="shared" si="2"/>
        <v>6</v>
      </c>
      <c r="L8">
        <f t="shared" si="3"/>
        <v>8</v>
      </c>
      <c r="M8">
        <f t="shared" si="4"/>
        <v>1</v>
      </c>
      <c r="N8" s="10">
        <f t="shared" si="5"/>
        <v>1542.2080000000001</v>
      </c>
      <c r="O8" s="10">
        <f t="shared" si="6"/>
        <v>385.55200000000002</v>
      </c>
    </row>
    <row r="9" spans="1:15" x14ac:dyDescent="0.25">
      <c r="A9" s="2">
        <v>45730</v>
      </c>
      <c r="B9" s="3">
        <v>9320</v>
      </c>
      <c r="C9" s="4" t="s">
        <v>29</v>
      </c>
      <c r="D9" s="4" t="s">
        <v>16</v>
      </c>
      <c r="E9" s="4" t="s">
        <v>13</v>
      </c>
      <c r="F9" s="4" t="s">
        <v>30</v>
      </c>
      <c r="G9" s="7">
        <v>7</v>
      </c>
      <c r="H9" s="8">
        <v>2406.94</v>
      </c>
      <c r="I9" s="8">
        <f t="shared" si="0"/>
        <v>16848.580000000002</v>
      </c>
      <c r="J9">
        <f t="shared" si="1"/>
        <v>2025</v>
      </c>
      <c r="K9">
        <f t="shared" si="2"/>
        <v>3</v>
      </c>
      <c r="L9">
        <f t="shared" si="3"/>
        <v>14</v>
      </c>
      <c r="M9">
        <f t="shared" si="4"/>
        <v>6</v>
      </c>
      <c r="N9" s="10">
        <f t="shared" si="5"/>
        <v>6739.4320000000007</v>
      </c>
      <c r="O9" s="10">
        <f t="shared" si="6"/>
        <v>1684.8580000000002</v>
      </c>
    </row>
    <row r="10" spans="1:15" x14ac:dyDescent="0.25">
      <c r="A10" s="2">
        <v>45765</v>
      </c>
      <c r="B10" s="3">
        <v>3027</v>
      </c>
      <c r="C10" s="4" t="s">
        <v>31</v>
      </c>
      <c r="D10" s="4" t="s">
        <v>16</v>
      </c>
      <c r="E10" s="4" t="s">
        <v>19</v>
      </c>
      <c r="F10" s="4" t="s">
        <v>32</v>
      </c>
      <c r="G10" s="7">
        <v>1</v>
      </c>
      <c r="H10" s="8">
        <v>2192.52</v>
      </c>
      <c r="I10" s="8">
        <f t="shared" si="0"/>
        <v>2192.52</v>
      </c>
      <c r="J10">
        <f t="shared" si="1"/>
        <v>2025</v>
      </c>
      <c r="K10">
        <f t="shared" si="2"/>
        <v>4</v>
      </c>
      <c r="L10">
        <f t="shared" si="3"/>
        <v>18</v>
      </c>
      <c r="M10">
        <f t="shared" si="4"/>
        <v>6</v>
      </c>
      <c r="N10" s="10">
        <f t="shared" si="5"/>
        <v>877.00800000000004</v>
      </c>
      <c r="O10" s="10">
        <f t="shared" si="6"/>
        <v>219.25200000000001</v>
      </c>
    </row>
    <row r="11" spans="1:15" x14ac:dyDescent="0.25">
      <c r="A11" s="2">
        <v>45690</v>
      </c>
      <c r="B11" s="3">
        <v>7359</v>
      </c>
      <c r="C11" s="4" t="s">
        <v>33</v>
      </c>
      <c r="D11" s="4" t="s">
        <v>27</v>
      </c>
      <c r="E11" s="4" t="s">
        <v>9</v>
      </c>
      <c r="F11" s="4" t="s">
        <v>25</v>
      </c>
      <c r="G11" s="7">
        <v>8</v>
      </c>
      <c r="H11" s="8">
        <v>1751.46</v>
      </c>
      <c r="I11" s="8">
        <f t="shared" si="0"/>
        <v>14011.68</v>
      </c>
      <c r="J11">
        <f t="shared" si="1"/>
        <v>2025</v>
      </c>
      <c r="K11">
        <f t="shared" si="2"/>
        <v>2</v>
      </c>
      <c r="L11">
        <f t="shared" si="3"/>
        <v>2</v>
      </c>
      <c r="M11">
        <f t="shared" si="4"/>
        <v>1</v>
      </c>
      <c r="N11" s="10">
        <f t="shared" si="5"/>
        <v>5604.6720000000005</v>
      </c>
      <c r="O11" s="10">
        <f t="shared" si="6"/>
        <v>1401.1680000000001</v>
      </c>
    </row>
    <row r="12" spans="1:15" x14ac:dyDescent="0.25">
      <c r="A12" s="2">
        <v>45706</v>
      </c>
      <c r="B12" s="3">
        <v>2585</v>
      </c>
      <c r="C12" s="4" t="s">
        <v>34</v>
      </c>
      <c r="D12" s="4" t="s">
        <v>8</v>
      </c>
      <c r="E12" s="4" t="s">
        <v>13</v>
      </c>
      <c r="F12" s="4" t="s">
        <v>14</v>
      </c>
      <c r="G12" s="7">
        <v>2</v>
      </c>
      <c r="H12" s="8">
        <v>1189.6300000000001</v>
      </c>
      <c r="I12" s="8">
        <f t="shared" si="0"/>
        <v>2379.2600000000002</v>
      </c>
      <c r="J12">
        <f t="shared" si="1"/>
        <v>2025</v>
      </c>
      <c r="K12">
        <f t="shared" si="2"/>
        <v>2</v>
      </c>
      <c r="L12">
        <f t="shared" si="3"/>
        <v>18</v>
      </c>
      <c r="M12">
        <f t="shared" si="4"/>
        <v>3</v>
      </c>
      <c r="N12" s="10">
        <f t="shared" si="5"/>
        <v>951.70400000000018</v>
      </c>
      <c r="O12" s="10">
        <f t="shared" si="6"/>
        <v>237.92600000000004</v>
      </c>
    </row>
    <row r="13" spans="1:15" x14ac:dyDescent="0.25">
      <c r="A13" s="2">
        <v>45810</v>
      </c>
      <c r="B13" s="3">
        <v>7884</v>
      </c>
      <c r="C13" s="4" t="s">
        <v>35</v>
      </c>
      <c r="D13" s="4" t="s">
        <v>8</v>
      </c>
      <c r="E13" s="4" t="s">
        <v>13</v>
      </c>
      <c r="F13" s="4" t="s">
        <v>14</v>
      </c>
      <c r="G13" s="7">
        <v>1</v>
      </c>
      <c r="H13" s="8">
        <v>1733.16</v>
      </c>
      <c r="I13" s="8">
        <f t="shared" si="0"/>
        <v>1733.16</v>
      </c>
      <c r="J13">
        <f t="shared" si="1"/>
        <v>2025</v>
      </c>
      <c r="K13">
        <f t="shared" si="2"/>
        <v>6</v>
      </c>
      <c r="L13">
        <f t="shared" si="3"/>
        <v>2</v>
      </c>
      <c r="M13">
        <f t="shared" si="4"/>
        <v>2</v>
      </c>
      <c r="N13" s="10">
        <f t="shared" si="5"/>
        <v>693.26400000000012</v>
      </c>
      <c r="O13" s="10">
        <f t="shared" si="6"/>
        <v>173.31600000000003</v>
      </c>
    </row>
    <row r="14" spans="1:15" x14ac:dyDescent="0.25">
      <c r="A14" s="2">
        <v>45677</v>
      </c>
      <c r="B14" s="3">
        <v>7981</v>
      </c>
      <c r="C14" s="4" t="s">
        <v>36</v>
      </c>
      <c r="D14" s="4" t="s">
        <v>37</v>
      </c>
      <c r="E14" s="4" t="s">
        <v>19</v>
      </c>
      <c r="F14" s="4" t="s">
        <v>20</v>
      </c>
      <c r="G14" s="7">
        <v>4</v>
      </c>
      <c r="H14" s="8">
        <v>2972.09</v>
      </c>
      <c r="I14" s="8">
        <f t="shared" si="0"/>
        <v>11888.36</v>
      </c>
      <c r="J14">
        <f t="shared" si="1"/>
        <v>2025</v>
      </c>
      <c r="K14">
        <f t="shared" si="2"/>
        <v>1</v>
      </c>
      <c r="L14">
        <f t="shared" si="3"/>
        <v>20</v>
      </c>
      <c r="M14">
        <f t="shared" si="4"/>
        <v>2</v>
      </c>
      <c r="N14" s="10">
        <f t="shared" si="5"/>
        <v>4755.3440000000001</v>
      </c>
      <c r="O14" s="10">
        <f t="shared" si="6"/>
        <v>1188.836</v>
      </c>
    </row>
    <row r="15" spans="1:15" x14ac:dyDescent="0.25">
      <c r="A15" s="2">
        <v>45666</v>
      </c>
      <c r="B15" s="3">
        <v>1322</v>
      </c>
      <c r="C15" s="4" t="s">
        <v>38</v>
      </c>
      <c r="D15" s="4" t="s">
        <v>8</v>
      </c>
      <c r="E15" s="4" t="s">
        <v>13</v>
      </c>
      <c r="F15" s="4" t="s">
        <v>17</v>
      </c>
      <c r="G15" s="7">
        <v>5</v>
      </c>
      <c r="H15" s="8">
        <v>1070.3</v>
      </c>
      <c r="I15" s="8">
        <f t="shared" si="0"/>
        <v>5351.5</v>
      </c>
      <c r="J15">
        <f t="shared" si="1"/>
        <v>2025</v>
      </c>
      <c r="K15">
        <f t="shared" si="2"/>
        <v>1</v>
      </c>
      <c r="L15">
        <f t="shared" si="3"/>
        <v>9</v>
      </c>
      <c r="M15">
        <f t="shared" si="4"/>
        <v>5</v>
      </c>
      <c r="N15" s="10">
        <f t="shared" si="5"/>
        <v>2140.6</v>
      </c>
      <c r="O15" s="10">
        <f t="shared" si="6"/>
        <v>535.15</v>
      </c>
    </row>
    <row r="16" spans="1:15" x14ac:dyDescent="0.25">
      <c r="A16" s="2">
        <v>45797</v>
      </c>
      <c r="B16" s="3">
        <v>3537</v>
      </c>
      <c r="C16" s="4" t="s">
        <v>39</v>
      </c>
      <c r="D16" s="4" t="s">
        <v>22</v>
      </c>
      <c r="E16" s="4" t="s">
        <v>40</v>
      </c>
      <c r="F16" s="4" t="s">
        <v>41</v>
      </c>
      <c r="G16" s="7">
        <v>1</v>
      </c>
      <c r="H16" s="8">
        <v>1263</v>
      </c>
      <c r="I16" s="8">
        <f t="shared" si="0"/>
        <v>1263</v>
      </c>
      <c r="J16">
        <f t="shared" si="1"/>
        <v>2025</v>
      </c>
      <c r="K16">
        <f t="shared" si="2"/>
        <v>5</v>
      </c>
      <c r="L16">
        <f t="shared" si="3"/>
        <v>20</v>
      </c>
      <c r="M16">
        <f t="shared" si="4"/>
        <v>3</v>
      </c>
      <c r="N16" s="10">
        <f t="shared" si="5"/>
        <v>505.20000000000005</v>
      </c>
      <c r="O16" s="10">
        <f t="shared" si="6"/>
        <v>126.30000000000001</v>
      </c>
    </row>
    <row r="17" spans="1:15" x14ac:dyDescent="0.25">
      <c r="A17" s="2">
        <v>45697</v>
      </c>
      <c r="B17" s="3">
        <v>2982</v>
      </c>
      <c r="C17" s="4" t="s">
        <v>42</v>
      </c>
      <c r="D17" s="4" t="s">
        <v>16</v>
      </c>
      <c r="E17" s="4" t="s">
        <v>9</v>
      </c>
      <c r="F17" s="4" t="s">
        <v>43</v>
      </c>
      <c r="G17" s="7">
        <v>2</v>
      </c>
      <c r="H17" s="8">
        <v>2008.93</v>
      </c>
      <c r="I17" s="8">
        <f t="shared" si="0"/>
        <v>4017.86</v>
      </c>
      <c r="J17">
        <f t="shared" si="1"/>
        <v>2025</v>
      </c>
      <c r="K17">
        <f t="shared" si="2"/>
        <v>2</v>
      </c>
      <c r="L17">
        <f t="shared" si="3"/>
        <v>9</v>
      </c>
      <c r="M17">
        <f t="shared" si="4"/>
        <v>1</v>
      </c>
      <c r="N17" s="10">
        <f t="shared" si="5"/>
        <v>1607.1440000000002</v>
      </c>
      <c r="O17" s="10">
        <f t="shared" si="6"/>
        <v>401.78600000000006</v>
      </c>
    </row>
    <row r="18" spans="1:15" x14ac:dyDescent="0.25">
      <c r="A18" s="2">
        <v>45651</v>
      </c>
      <c r="B18" s="3">
        <v>5593</v>
      </c>
      <c r="C18" s="4" t="s">
        <v>44</v>
      </c>
      <c r="D18" s="4" t="s">
        <v>22</v>
      </c>
      <c r="E18" s="4" t="s">
        <v>40</v>
      </c>
      <c r="F18" s="4" t="s">
        <v>45</v>
      </c>
      <c r="G18" s="7">
        <v>5</v>
      </c>
      <c r="H18" s="8">
        <v>234.04</v>
      </c>
      <c r="I18" s="8">
        <f t="shared" si="0"/>
        <v>1170.2</v>
      </c>
      <c r="J18">
        <f t="shared" si="1"/>
        <v>2024</v>
      </c>
      <c r="K18">
        <f t="shared" si="2"/>
        <v>12</v>
      </c>
      <c r="L18">
        <f t="shared" si="3"/>
        <v>25</v>
      </c>
      <c r="M18">
        <f t="shared" si="4"/>
        <v>4</v>
      </c>
      <c r="N18" s="10">
        <f t="shared" si="5"/>
        <v>468.08000000000004</v>
      </c>
      <c r="O18" s="10">
        <f t="shared" si="6"/>
        <v>117.02000000000001</v>
      </c>
    </row>
    <row r="19" spans="1:15" x14ac:dyDescent="0.25">
      <c r="A19" s="2">
        <v>45757</v>
      </c>
      <c r="B19" s="3">
        <v>1305</v>
      </c>
      <c r="C19" s="4" t="s">
        <v>46</v>
      </c>
      <c r="D19" s="4" t="s">
        <v>16</v>
      </c>
      <c r="E19" s="4" t="s">
        <v>19</v>
      </c>
      <c r="F19" s="4" t="s">
        <v>47</v>
      </c>
      <c r="G19" s="7">
        <v>8</v>
      </c>
      <c r="H19" s="8">
        <v>624.63</v>
      </c>
      <c r="I19" s="8">
        <f t="shared" si="0"/>
        <v>4997.04</v>
      </c>
      <c r="J19">
        <f t="shared" si="1"/>
        <v>2025</v>
      </c>
      <c r="K19">
        <f t="shared" si="2"/>
        <v>4</v>
      </c>
      <c r="L19">
        <f t="shared" si="3"/>
        <v>10</v>
      </c>
      <c r="M19">
        <f t="shared" si="4"/>
        <v>5</v>
      </c>
      <c r="N19" s="10">
        <f t="shared" si="5"/>
        <v>1998.816</v>
      </c>
      <c r="O19" s="10">
        <f t="shared" si="6"/>
        <v>499.70400000000001</v>
      </c>
    </row>
    <row r="20" spans="1:15" x14ac:dyDescent="0.25">
      <c r="A20" s="2">
        <v>45710</v>
      </c>
      <c r="B20" s="3">
        <v>6303</v>
      </c>
      <c r="C20" s="4" t="s">
        <v>48</v>
      </c>
      <c r="D20" s="4" t="s">
        <v>27</v>
      </c>
      <c r="E20" s="4" t="s">
        <v>9</v>
      </c>
      <c r="F20" s="4" t="s">
        <v>43</v>
      </c>
      <c r="G20" s="7">
        <v>4</v>
      </c>
      <c r="H20" s="8">
        <v>2422.84</v>
      </c>
      <c r="I20" s="8">
        <f t="shared" si="0"/>
        <v>9691.36</v>
      </c>
      <c r="J20">
        <f t="shared" si="1"/>
        <v>2025</v>
      </c>
      <c r="K20">
        <f t="shared" si="2"/>
        <v>2</v>
      </c>
      <c r="L20">
        <f t="shared" si="3"/>
        <v>22</v>
      </c>
      <c r="M20">
        <f t="shared" si="4"/>
        <v>7</v>
      </c>
      <c r="N20" s="10">
        <f t="shared" si="5"/>
        <v>3876.5440000000003</v>
      </c>
      <c r="O20" s="10">
        <f t="shared" si="6"/>
        <v>969.13600000000008</v>
      </c>
    </row>
    <row r="21" spans="1:15" ht="15.75" customHeight="1" x14ac:dyDescent="0.25">
      <c r="A21" s="2">
        <v>45751</v>
      </c>
      <c r="B21" s="3">
        <v>6700</v>
      </c>
      <c r="C21" s="4" t="s">
        <v>49</v>
      </c>
      <c r="D21" s="4" t="s">
        <v>16</v>
      </c>
      <c r="E21" s="4" t="s">
        <v>9</v>
      </c>
      <c r="F21" s="4" t="s">
        <v>43</v>
      </c>
      <c r="G21" s="7">
        <v>7</v>
      </c>
      <c r="H21" s="8">
        <v>2205.46</v>
      </c>
      <c r="I21" s="8">
        <f t="shared" si="0"/>
        <v>15438.220000000001</v>
      </c>
      <c r="J21">
        <f t="shared" si="1"/>
        <v>2025</v>
      </c>
      <c r="K21">
        <f t="shared" si="2"/>
        <v>4</v>
      </c>
      <c r="L21">
        <f t="shared" si="3"/>
        <v>4</v>
      </c>
      <c r="M21">
        <f t="shared" si="4"/>
        <v>6</v>
      </c>
      <c r="N21" s="10">
        <f t="shared" si="5"/>
        <v>6175.2880000000005</v>
      </c>
      <c r="O21" s="10">
        <f t="shared" si="6"/>
        <v>1543.8220000000001</v>
      </c>
    </row>
    <row r="22" spans="1:15" ht="15.75" customHeight="1" x14ac:dyDescent="0.25">
      <c r="A22" s="2">
        <v>45751</v>
      </c>
      <c r="B22" s="3">
        <v>4907</v>
      </c>
      <c r="C22" s="4" t="s">
        <v>50</v>
      </c>
      <c r="D22" s="4" t="s">
        <v>37</v>
      </c>
      <c r="E22" s="4" t="s">
        <v>9</v>
      </c>
      <c r="F22" s="4" t="s">
        <v>10</v>
      </c>
      <c r="G22" s="7">
        <v>10</v>
      </c>
      <c r="H22" s="8">
        <v>2262.7399999999998</v>
      </c>
      <c r="I22" s="8">
        <f t="shared" si="0"/>
        <v>22627.399999999998</v>
      </c>
      <c r="J22">
        <f t="shared" si="1"/>
        <v>2025</v>
      </c>
      <c r="K22">
        <f t="shared" si="2"/>
        <v>4</v>
      </c>
      <c r="L22">
        <f t="shared" si="3"/>
        <v>4</v>
      </c>
      <c r="M22">
        <f t="shared" si="4"/>
        <v>6</v>
      </c>
      <c r="N22" s="10">
        <f t="shared" si="5"/>
        <v>9050.9599999999991</v>
      </c>
      <c r="O22" s="10">
        <f t="shared" si="6"/>
        <v>2262.7399999999998</v>
      </c>
    </row>
    <row r="23" spans="1:15" ht="15.75" customHeight="1" x14ac:dyDescent="0.25">
      <c r="A23" s="2">
        <v>45662</v>
      </c>
      <c r="B23" s="3">
        <v>5746</v>
      </c>
      <c r="C23" s="4" t="s">
        <v>51</v>
      </c>
      <c r="D23" s="4" t="s">
        <v>8</v>
      </c>
      <c r="E23" s="4" t="s">
        <v>52</v>
      </c>
      <c r="F23" s="4" t="s">
        <v>53</v>
      </c>
      <c r="G23" s="7">
        <v>3</v>
      </c>
      <c r="H23" s="8">
        <v>2806.52</v>
      </c>
      <c r="I23" s="8">
        <f t="shared" si="0"/>
        <v>8419.56</v>
      </c>
      <c r="J23">
        <f t="shared" si="1"/>
        <v>2025</v>
      </c>
      <c r="K23">
        <f t="shared" si="2"/>
        <v>1</v>
      </c>
      <c r="L23">
        <f t="shared" si="3"/>
        <v>5</v>
      </c>
      <c r="M23">
        <f t="shared" si="4"/>
        <v>1</v>
      </c>
      <c r="N23" s="10">
        <f t="shared" si="5"/>
        <v>3367.8240000000001</v>
      </c>
      <c r="O23" s="10">
        <f t="shared" si="6"/>
        <v>841.95600000000002</v>
      </c>
    </row>
    <row r="24" spans="1:15" ht="15.75" customHeight="1" x14ac:dyDescent="0.25">
      <c r="A24" s="2">
        <v>45773</v>
      </c>
      <c r="B24" s="3">
        <v>1307</v>
      </c>
      <c r="C24" s="4" t="s">
        <v>54</v>
      </c>
      <c r="D24" s="4" t="s">
        <v>22</v>
      </c>
      <c r="E24" s="4" t="s">
        <v>13</v>
      </c>
      <c r="F24" s="4" t="s">
        <v>17</v>
      </c>
      <c r="G24" s="7">
        <v>2</v>
      </c>
      <c r="H24" s="8">
        <v>2625.24</v>
      </c>
      <c r="I24" s="8">
        <f t="shared" si="0"/>
        <v>5250.48</v>
      </c>
      <c r="J24">
        <f t="shared" si="1"/>
        <v>2025</v>
      </c>
      <c r="K24">
        <f t="shared" si="2"/>
        <v>4</v>
      </c>
      <c r="L24">
        <f t="shared" si="3"/>
        <v>26</v>
      </c>
      <c r="M24">
        <f t="shared" si="4"/>
        <v>7</v>
      </c>
      <c r="N24" s="10">
        <f t="shared" si="5"/>
        <v>2100.192</v>
      </c>
      <c r="O24" s="10">
        <f t="shared" si="6"/>
        <v>525.048</v>
      </c>
    </row>
    <row r="25" spans="1:15" ht="15.75" customHeight="1" x14ac:dyDescent="0.25">
      <c r="A25" s="2">
        <v>45729</v>
      </c>
      <c r="B25" s="3">
        <v>6638</v>
      </c>
      <c r="C25" s="4" t="s">
        <v>55</v>
      </c>
      <c r="D25" s="4" t="s">
        <v>12</v>
      </c>
      <c r="E25" s="4" t="s">
        <v>13</v>
      </c>
      <c r="F25" s="4" t="s">
        <v>56</v>
      </c>
      <c r="G25" s="7">
        <v>8</v>
      </c>
      <c r="H25" s="8">
        <v>2277.06</v>
      </c>
      <c r="I25" s="8">
        <f t="shared" si="0"/>
        <v>18216.48</v>
      </c>
      <c r="J25">
        <f t="shared" si="1"/>
        <v>2025</v>
      </c>
      <c r="K25">
        <f t="shared" si="2"/>
        <v>3</v>
      </c>
      <c r="L25">
        <f t="shared" si="3"/>
        <v>13</v>
      </c>
      <c r="M25">
        <f t="shared" si="4"/>
        <v>5</v>
      </c>
      <c r="N25" s="10">
        <f t="shared" si="5"/>
        <v>7286.5920000000006</v>
      </c>
      <c r="O25" s="10">
        <f t="shared" si="6"/>
        <v>1821.6480000000001</v>
      </c>
    </row>
    <row r="26" spans="1:15" ht="15.75" customHeight="1" x14ac:dyDescent="0.25">
      <c r="A26" s="2">
        <v>45692</v>
      </c>
      <c r="B26" s="3">
        <v>7698</v>
      </c>
      <c r="C26" s="4" t="s">
        <v>57</v>
      </c>
      <c r="D26" s="4" t="s">
        <v>8</v>
      </c>
      <c r="E26" s="4" t="s">
        <v>9</v>
      </c>
      <c r="F26" s="4" t="s">
        <v>25</v>
      </c>
      <c r="G26" s="7">
        <v>4</v>
      </c>
      <c r="H26" s="8">
        <v>2315.37</v>
      </c>
      <c r="I26" s="8">
        <f t="shared" si="0"/>
        <v>9261.48</v>
      </c>
      <c r="J26">
        <f t="shared" si="1"/>
        <v>2025</v>
      </c>
      <c r="K26">
        <f t="shared" si="2"/>
        <v>2</v>
      </c>
      <c r="L26">
        <f t="shared" si="3"/>
        <v>4</v>
      </c>
      <c r="M26">
        <f t="shared" si="4"/>
        <v>3</v>
      </c>
      <c r="N26" s="10">
        <f t="shared" si="5"/>
        <v>3704.5920000000001</v>
      </c>
      <c r="O26" s="10">
        <f t="shared" si="6"/>
        <v>926.14800000000002</v>
      </c>
    </row>
    <row r="27" spans="1:15" ht="15.75" customHeight="1" x14ac:dyDescent="0.25">
      <c r="A27" s="2">
        <v>45675</v>
      </c>
      <c r="B27" s="3">
        <v>1583</v>
      </c>
      <c r="C27" s="4" t="s">
        <v>58</v>
      </c>
      <c r="D27" s="4" t="s">
        <v>12</v>
      </c>
      <c r="E27" s="4" t="s">
        <v>40</v>
      </c>
      <c r="F27" s="4" t="s">
        <v>41</v>
      </c>
      <c r="G27" s="7">
        <v>4</v>
      </c>
      <c r="H27" s="8">
        <v>2912.84</v>
      </c>
      <c r="I27" s="8">
        <f t="shared" si="0"/>
        <v>11651.36</v>
      </c>
      <c r="J27">
        <f t="shared" si="1"/>
        <v>2025</v>
      </c>
      <c r="K27">
        <f t="shared" si="2"/>
        <v>1</v>
      </c>
      <c r="L27">
        <f t="shared" si="3"/>
        <v>18</v>
      </c>
      <c r="M27">
        <f t="shared" si="4"/>
        <v>7</v>
      </c>
      <c r="N27" s="10">
        <f t="shared" si="5"/>
        <v>4660.5440000000008</v>
      </c>
      <c r="O27" s="10">
        <f t="shared" si="6"/>
        <v>1165.1360000000002</v>
      </c>
    </row>
    <row r="28" spans="1:15" ht="15.75" customHeight="1" x14ac:dyDescent="0.25">
      <c r="A28" s="2">
        <v>45785</v>
      </c>
      <c r="B28" s="3">
        <v>8542</v>
      </c>
      <c r="C28" s="4" t="s">
        <v>59</v>
      </c>
      <c r="D28" s="4" t="s">
        <v>8</v>
      </c>
      <c r="E28" s="4" t="s">
        <v>13</v>
      </c>
      <c r="F28" s="4" t="s">
        <v>17</v>
      </c>
      <c r="G28" s="7">
        <v>1</v>
      </c>
      <c r="H28" s="8">
        <v>2541.62</v>
      </c>
      <c r="I28" s="8">
        <f t="shared" si="0"/>
        <v>2541.62</v>
      </c>
      <c r="J28">
        <f t="shared" si="1"/>
        <v>2025</v>
      </c>
      <c r="K28">
        <f t="shared" si="2"/>
        <v>5</v>
      </c>
      <c r="L28">
        <f t="shared" si="3"/>
        <v>8</v>
      </c>
      <c r="M28">
        <f t="shared" si="4"/>
        <v>5</v>
      </c>
      <c r="N28" s="10">
        <f t="shared" si="5"/>
        <v>1016.648</v>
      </c>
      <c r="O28" s="10">
        <f t="shared" si="6"/>
        <v>254.16200000000001</v>
      </c>
    </row>
    <row r="29" spans="1:15" ht="15.75" customHeight="1" x14ac:dyDescent="0.25">
      <c r="A29" s="2">
        <v>45684</v>
      </c>
      <c r="B29" s="3">
        <v>3301</v>
      </c>
      <c r="C29" s="4" t="s">
        <v>60</v>
      </c>
      <c r="D29" s="4" t="s">
        <v>12</v>
      </c>
      <c r="E29" s="4" t="s">
        <v>40</v>
      </c>
      <c r="F29" s="4" t="s">
        <v>61</v>
      </c>
      <c r="G29" s="7">
        <v>7</v>
      </c>
      <c r="H29" s="8">
        <v>104.92</v>
      </c>
      <c r="I29" s="8">
        <f t="shared" si="0"/>
        <v>734.44</v>
      </c>
      <c r="J29">
        <f t="shared" si="1"/>
        <v>2025</v>
      </c>
      <c r="K29">
        <f t="shared" si="2"/>
        <v>1</v>
      </c>
      <c r="L29">
        <f t="shared" si="3"/>
        <v>27</v>
      </c>
      <c r="M29">
        <f t="shared" si="4"/>
        <v>2</v>
      </c>
      <c r="N29" s="10">
        <f t="shared" si="5"/>
        <v>293.77600000000001</v>
      </c>
      <c r="O29" s="10">
        <f t="shared" si="6"/>
        <v>73.444000000000003</v>
      </c>
    </row>
    <row r="30" spans="1:15" ht="15.75" customHeight="1" x14ac:dyDescent="0.25">
      <c r="A30" s="2">
        <v>45716</v>
      </c>
      <c r="B30" s="3">
        <v>2628</v>
      </c>
      <c r="C30" s="4" t="s">
        <v>62</v>
      </c>
      <c r="D30" s="4" t="s">
        <v>63</v>
      </c>
      <c r="E30" s="4" t="s">
        <v>13</v>
      </c>
      <c r="F30" s="4" t="s">
        <v>64</v>
      </c>
      <c r="G30" s="7">
        <v>7</v>
      </c>
      <c r="H30" s="8">
        <v>1970.61</v>
      </c>
      <c r="I30" s="8">
        <f t="shared" si="0"/>
        <v>13794.269999999999</v>
      </c>
      <c r="J30">
        <f t="shared" si="1"/>
        <v>2025</v>
      </c>
      <c r="K30">
        <f t="shared" si="2"/>
        <v>2</v>
      </c>
      <c r="L30">
        <f t="shared" si="3"/>
        <v>28</v>
      </c>
      <c r="M30">
        <f t="shared" si="4"/>
        <v>6</v>
      </c>
      <c r="N30" s="10">
        <f t="shared" si="5"/>
        <v>5517.7079999999996</v>
      </c>
      <c r="O30" s="10">
        <f t="shared" si="6"/>
        <v>1379.4269999999999</v>
      </c>
    </row>
    <row r="31" spans="1:15" ht="15.75" customHeight="1" x14ac:dyDescent="0.25">
      <c r="A31" s="2">
        <v>45649</v>
      </c>
      <c r="B31" s="3">
        <v>7453</v>
      </c>
      <c r="C31" s="4" t="s">
        <v>65</v>
      </c>
      <c r="D31" s="4" t="s">
        <v>22</v>
      </c>
      <c r="E31" s="4" t="s">
        <v>52</v>
      </c>
      <c r="F31" s="4" t="s">
        <v>66</v>
      </c>
      <c r="G31" s="7">
        <v>10</v>
      </c>
      <c r="H31" s="8">
        <v>1058.3800000000001</v>
      </c>
      <c r="I31" s="8">
        <f t="shared" si="0"/>
        <v>10583.800000000001</v>
      </c>
      <c r="J31">
        <f t="shared" si="1"/>
        <v>2024</v>
      </c>
      <c r="K31">
        <f t="shared" si="2"/>
        <v>12</v>
      </c>
      <c r="L31">
        <f t="shared" si="3"/>
        <v>23</v>
      </c>
      <c r="M31">
        <f t="shared" si="4"/>
        <v>2</v>
      </c>
      <c r="N31" s="10">
        <f t="shared" si="5"/>
        <v>4233.5200000000004</v>
      </c>
      <c r="O31" s="10">
        <f t="shared" si="6"/>
        <v>1058.3800000000001</v>
      </c>
    </row>
    <row r="32" spans="1:15" ht="15.75" customHeight="1" x14ac:dyDescent="0.25">
      <c r="A32" s="2">
        <v>45760</v>
      </c>
      <c r="B32" s="3">
        <v>6357</v>
      </c>
      <c r="C32" s="4" t="s">
        <v>67</v>
      </c>
      <c r="D32" s="4" t="s">
        <v>63</v>
      </c>
      <c r="E32" s="4" t="s">
        <v>19</v>
      </c>
      <c r="F32" s="4" t="s">
        <v>32</v>
      </c>
      <c r="G32" s="7">
        <v>7</v>
      </c>
      <c r="H32" s="8">
        <v>1150.43</v>
      </c>
      <c r="I32" s="8">
        <f t="shared" si="0"/>
        <v>8053.01</v>
      </c>
      <c r="J32">
        <f t="shared" si="1"/>
        <v>2025</v>
      </c>
      <c r="K32">
        <f t="shared" si="2"/>
        <v>4</v>
      </c>
      <c r="L32">
        <f t="shared" si="3"/>
        <v>13</v>
      </c>
      <c r="M32">
        <f t="shared" si="4"/>
        <v>1</v>
      </c>
      <c r="N32" s="10">
        <f t="shared" si="5"/>
        <v>3221.2040000000002</v>
      </c>
      <c r="O32" s="10">
        <f t="shared" si="6"/>
        <v>805.30100000000004</v>
      </c>
    </row>
    <row r="33" spans="1:15" ht="15.75" customHeight="1" x14ac:dyDescent="0.25">
      <c r="A33" s="2">
        <v>45809</v>
      </c>
      <c r="B33" s="3">
        <v>6125</v>
      </c>
      <c r="C33" s="4" t="s">
        <v>68</v>
      </c>
      <c r="D33" s="4" t="s">
        <v>22</v>
      </c>
      <c r="E33" s="4" t="s">
        <v>40</v>
      </c>
      <c r="F33" s="4" t="s">
        <v>41</v>
      </c>
      <c r="G33" s="7">
        <v>2</v>
      </c>
      <c r="H33" s="8">
        <v>603.9</v>
      </c>
      <c r="I33" s="8">
        <f t="shared" si="0"/>
        <v>1207.8</v>
      </c>
      <c r="J33">
        <f t="shared" si="1"/>
        <v>2025</v>
      </c>
      <c r="K33">
        <f t="shared" si="2"/>
        <v>6</v>
      </c>
      <c r="L33">
        <f t="shared" si="3"/>
        <v>1</v>
      </c>
      <c r="M33">
        <f t="shared" si="4"/>
        <v>1</v>
      </c>
      <c r="N33" s="10">
        <f t="shared" si="5"/>
        <v>483.12</v>
      </c>
      <c r="O33" s="10">
        <f t="shared" si="6"/>
        <v>120.78</v>
      </c>
    </row>
    <row r="34" spans="1:15" ht="15.75" customHeight="1" x14ac:dyDescent="0.25">
      <c r="A34" s="2">
        <v>45640</v>
      </c>
      <c r="B34" s="3">
        <v>1162</v>
      </c>
      <c r="C34" s="4" t="s">
        <v>69</v>
      </c>
      <c r="D34" s="4" t="s">
        <v>37</v>
      </c>
      <c r="E34" s="4" t="s">
        <v>40</v>
      </c>
      <c r="F34" s="4" t="s">
        <v>70</v>
      </c>
      <c r="G34" s="7">
        <v>8</v>
      </c>
      <c r="H34" s="8">
        <v>1148.98</v>
      </c>
      <c r="I34" s="8">
        <f t="shared" si="0"/>
        <v>9191.84</v>
      </c>
      <c r="J34">
        <f t="shared" si="1"/>
        <v>2024</v>
      </c>
      <c r="K34">
        <f t="shared" si="2"/>
        <v>12</v>
      </c>
      <c r="L34">
        <f t="shared" si="3"/>
        <v>14</v>
      </c>
      <c r="M34">
        <f t="shared" si="4"/>
        <v>7</v>
      </c>
      <c r="N34" s="10">
        <f t="shared" si="5"/>
        <v>3676.7360000000003</v>
      </c>
      <c r="O34" s="10">
        <f t="shared" si="6"/>
        <v>919.18400000000008</v>
      </c>
    </row>
    <row r="35" spans="1:15" ht="15.75" customHeight="1" x14ac:dyDescent="0.25">
      <c r="A35" s="2">
        <v>45676</v>
      </c>
      <c r="B35" s="3">
        <v>8716</v>
      </c>
      <c r="C35" s="4" t="s">
        <v>71</v>
      </c>
      <c r="D35" s="4" t="s">
        <v>22</v>
      </c>
      <c r="E35" s="4" t="s">
        <v>52</v>
      </c>
      <c r="F35" s="4" t="s">
        <v>72</v>
      </c>
      <c r="G35" s="7">
        <v>7</v>
      </c>
      <c r="H35" s="8">
        <v>588.55999999999995</v>
      </c>
      <c r="I35" s="8">
        <f t="shared" si="0"/>
        <v>4119.92</v>
      </c>
      <c r="J35">
        <f t="shared" si="1"/>
        <v>2025</v>
      </c>
      <c r="K35">
        <f t="shared" si="2"/>
        <v>1</v>
      </c>
      <c r="L35">
        <f t="shared" si="3"/>
        <v>19</v>
      </c>
      <c r="M35">
        <f t="shared" si="4"/>
        <v>1</v>
      </c>
      <c r="N35" s="10">
        <f t="shared" si="5"/>
        <v>1647.9680000000001</v>
      </c>
      <c r="O35" s="10">
        <f t="shared" si="6"/>
        <v>411.99200000000002</v>
      </c>
    </row>
    <row r="36" spans="1:15" ht="15.75" customHeight="1" x14ac:dyDescent="0.25">
      <c r="A36" s="2">
        <v>45705</v>
      </c>
      <c r="B36" s="3">
        <v>7947</v>
      </c>
      <c r="C36" s="4" t="s">
        <v>73</v>
      </c>
      <c r="D36" s="4" t="s">
        <v>22</v>
      </c>
      <c r="E36" s="4" t="s">
        <v>52</v>
      </c>
      <c r="F36" s="4" t="s">
        <v>53</v>
      </c>
      <c r="G36" s="7">
        <v>7</v>
      </c>
      <c r="H36" s="8">
        <v>1737.15</v>
      </c>
      <c r="I36" s="8">
        <f t="shared" si="0"/>
        <v>12160.050000000001</v>
      </c>
      <c r="J36">
        <f t="shared" si="1"/>
        <v>2025</v>
      </c>
      <c r="K36">
        <f t="shared" si="2"/>
        <v>2</v>
      </c>
      <c r="L36">
        <f t="shared" si="3"/>
        <v>17</v>
      </c>
      <c r="M36">
        <f t="shared" si="4"/>
        <v>2</v>
      </c>
      <c r="N36" s="10">
        <f t="shared" si="5"/>
        <v>4864.0200000000004</v>
      </c>
      <c r="O36" s="10">
        <f t="shared" si="6"/>
        <v>1216.0050000000001</v>
      </c>
    </row>
    <row r="37" spans="1:15" ht="15.75" customHeight="1" x14ac:dyDescent="0.25">
      <c r="A37" s="2">
        <v>45694</v>
      </c>
      <c r="B37" s="3">
        <v>3819</v>
      </c>
      <c r="C37" s="4" t="s">
        <v>74</v>
      </c>
      <c r="D37" s="4" t="s">
        <v>8</v>
      </c>
      <c r="E37" s="4" t="s">
        <v>19</v>
      </c>
      <c r="F37" s="4" t="s">
        <v>75</v>
      </c>
      <c r="G37" s="7">
        <v>9</v>
      </c>
      <c r="H37" s="8">
        <v>610.97</v>
      </c>
      <c r="I37" s="8">
        <f t="shared" si="0"/>
        <v>5498.7300000000005</v>
      </c>
      <c r="J37">
        <f t="shared" si="1"/>
        <v>2025</v>
      </c>
      <c r="K37">
        <f t="shared" si="2"/>
        <v>2</v>
      </c>
      <c r="L37">
        <f t="shared" si="3"/>
        <v>6</v>
      </c>
      <c r="M37">
        <f t="shared" si="4"/>
        <v>5</v>
      </c>
      <c r="N37" s="10">
        <f t="shared" si="5"/>
        <v>2199.4920000000002</v>
      </c>
      <c r="O37" s="10">
        <f t="shared" si="6"/>
        <v>549.87300000000005</v>
      </c>
    </row>
    <row r="38" spans="1:15" ht="15.75" customHeight="1" x14ac:dyDescent="0.25">
      <c r="A38" s="2">
        <v>45782</v>
      </c>
      <c r="B38" s="3">
        <v>9305</v>
      </c>
      <c r="C38" s="4" t="s">
        <v>76</v>
      </c>
      <c r="D38" s="4" t="s">
        <v>63</v>
      </c>
      <c r="E38" s="4" t="s">
        <v>13</v>
      </c>
      <c r="F38" s="4" t="s">
        <v>30</v>
      </c>
      <c r="G38" s="7">
        <v>3</v>
      </c>
      <c r="H38" s="8">
        <v>366.45</v>
      </c>
      <c r="I38" s="8">
        <f t="shared" si="0"/>
        <v>1099.3499999999999</v>
      </c>
      <c r="J38">
        <f t="shared" si="1"/>
        <v>2025</v>
      </c>
      <c r="K38">
        <f t="shared" si="2"/>
        <v>5</v>
      </c>
      <c r="L38">
        <f t="shared" si="3"/>
        <v>5</v>
      </c>
      <c r="M38">
        <f t="shared" si="4"/>
        <v>2</v>
      </c>
      <c r="N38" s="10">
        <f t="shared" si="5"/>
        <v>439.74</v>
      </c>
      <c r="O38" s="10">
        <f t="shared" si="6"/>
        <v>109.935</v>
      </c>
    </row>
    <row r="39" spans="1:15" ht="15.75" customHeight="1" x14ac:dyDescent="0.25">
      <c r="A39" s="2">
        <v>45777</v>
      </c>
      <c r="B39" s="3">
        <v>5748</v>
      </c>
      <c r="C39" s="4" t="s">
        <v>77</v>
      </c>
      <c r="D39" s="4" t="s">
        <v>22</v>
      </c>
      <c r="E39" s="4" t="s">
        <v>19</v>
      </c>
      <c r="F39" s="4" t="s">
        <v>32</v>
      </c>
      <c r="G39" s="7">
        <v>8</v>
      </c>
      <c r="H39" s="8">
        <v>192.91</v>
      </c>
      <c r="I39" s="8">
        <f t="shared" si="0"/>
        <v>1543.28</v>
      </c>
      <c r="J39">
        <f t="shared" si="1"/>
        <v>2025</v>
      </c>
      <c r="K39">
        <f t="shared" si="2"/>
        <v>4</v>
      </c>
      <c r="L39">
        <f t="shared" si="3"/>
        <v>30</v>
      </c>
      <c r="M39">
        <f t="shared" si="4"/>
        <v>4</v>
      </c>
      <c r="N39" s="10">
        <f t="shared" si="5"/>
        <v>617.31200000000001</v>
      </c>
      <c r="O39" s="10">
        <f t="shared" si="6"/>
        <v>154.328</v>
      </c>
    </row>
    <row r="40" spans="1:15" ht="15.75" customHeight="1" x14ac:dyDescent="0.25">
      <c r="A40" s="2">
        <v>45748</v>
      </c>
      <c r="B40" s="3">
        <v>8410</v>
      </c>
      <c r="C40" s="4" t="s">
        <v>78</v>
      </c>
      <c r="D40" s="4" t="s">
        <v>63</v>
      </c>
      <c r="E40" s="4" t="s">
        <v>19</v>
      </c>
      <c r="F40" s="4" t="s">
        <v>75</v>
      </c>
      <c r="G40" s="7">
        <v>9</v>
      </c>
      <c r="H40" s="8">
        <v>2134.06</v>
      </c>
      <c r="I40" s="8">
        <f t="shared" si="0"/>
        <v>19206.54</v>
      </c>
      <c r="J40">
        <f t="shared" si="1"/>
        <v>2025</v>
      </c>
      <c r="K40">
        <f t="shared" si="2"/>
        <v>4</v>
      </c>
      <c r="L40">
        <f t="shared" si="3"/>
        <v>1</v>
      </c>
      <c r="M40">
        <f t="shared" si="4"/>
        <v>3</v>
      </c>
      <c r="N40" s="10">
        <f t="shared" si="5"/>
        <v>7682.6160000000009</v>
      </c>
      <c r="O40" s="10">
        <f t="shared" si="6"/>
        <v>1920.6540000000002</v>
      </c>
    </row>
    <row r="41" spans="1:15" ht="15.75" customHeight="1" x14ac:dyDescent="0.25">
      <c r="A41" s="2">
        <v>45700</v>
      </c>
      <c r="B41" s="3">
        <v>4047</v>
      </c>
      <c r="C41" s="4" t="s">
        <v>79</v>
      </c>
      <c r="D41" s="4" t="s">
        <v>8</v>
      </c>
      <c r="E41" s="4" t="s">
        <v>19</v>
      </c>
      <c r="F41" s="4" t="s">
        <v>20</v>
      </c>
      <c r="G41" s="7">
        <v>8</v>
      </c>
      <c r="H41" s="8">
        <v>1250.26</v>
      </c>
      <c r="I41" s="8">
        <f t="shared" si="0"/>
        <v>10002.08</v>
      </c>
      <c r="J41">
        <f t="shared" si="1"/>
        <v>2025</v>
      </c>
      <c r="K41">
        <f t="shared" si="2"/>
        <v>2</v>
      </c>
      <c r="L41">
        <f t="shared" si="3"/>
        <v>12</v>
      </c>
      <c r="M41">
        <f t="shared" si="4"/>
        <v>4</v>
      </c>
      <c r="N41" s="10">
        <f t="shared" si="5"/>
        <v>4000.8320000000003</v>
      </c>
      <c r="O41" s="10">
        <f t="shared" si="6"/>
        <v>1000.2080000000001</v>
      </c>
    </row>
    <row r="42" spans="1:15" ht="15.75" customHeight="1" x14ac:dyDescent="0.25">
      <c r="A42" s="2">
        <v>45711</v>
      </c>
      <c r="B42" s="3">
        <v>1215</v>
      </c>
      <c r="C42" s="4" t="s">
        <v>80</v>
      </c>
      <c r="D42" s="4" t="s">
        <v>27</v>
      </c>
      <c r="E42" s="4" t="s">
        <v>40</v>
      </c>
      <c r="F42" s="4" t="s">
        <v>45</v>
      </c>
      <c r="G42" s="7">
        <v>8</v>
      </c>
      <c r="H42" s="8">
        <v>1905.04</v>
      </c>
      <c r="I42" s="8">
        <f t="shared" si="0"/>
        <v>15240.32</v>
      </c>
      <c r="J42">
        <f t="shared" si="1"/>
        <v>2025</v>
      </c>
      <c r="K42">
        <f t="shared" si="2"/>
        <v>2</v>
      </c>
      <c r="L42">
        <f t="shared" si="3"/>
        <v>23</v>
      </c>
      <c r="M42">
        <f t="shared" si="4"/>
        <v>1</v>
      </c>
      <c r="N42" s="10">
        <f t="shared" si="5"/>
        <v>6096.1280000000006</v>
      </c>
      <c r="O42" s="10">
        <f t="shared" si="6"/>
        <v>1524.0320000000002</v>
      </c>
    </row>
    <row r="43" spans="1:15" ht="15.75" customHeight="1" x14ac:dyDescent="0.25">
      <c r="A43" s="2">
        <v>45670</v>
      </c>
      <c r="B43" s="3">
        <v>6946</v>
      </c>
      <c r="C43" s="4" t="s">
        <v>81</v>
      </c>
      <c r="D43" s="4" t="s">
        <v>22</v>
      </c>
      <c r="E43" s="4" t="s">
        <v>52</v>
      </c>
      <c r="F43" s="4" t="s">
        <v>82</v>
      </c>
      <c r="G43" s="7">
        <v>7</v>
      </c>
      <c r="H43" s="8">
        <v>197.93</v>
      </c>
      <c r="I43" s="8">
        <f t="shared" si="0"/>
        <v>1385.51</v>
      </c>
      <c r="J43">
        <f t="shared" si="1"/>
        <v>2025</v>
      </c>
      <c r="K43">
        <f t="shared" si="2"/>
        <v>1</v>
      </c>
      <c r="L43">
        <f t="shared" si="3"/>
        <v>13</v>
      </c>
      <c r="M43">
        <f t="shared" si="4"/>
        <v>2</v>
      </c>
      <c r="N43" s="10">
        <f t="shared" si="5"/>
        <v>554.20400000000006</v>
      </c>
      <c r="O43" s="10">
        <f t="shared" si="6"/>
        <v>138.55100000000002</v>
      </c>
    </row>
    <row r="44" spans="1:15" ht="15.75" customHeight="1" x14ac:dyDescent="0.25">
      <c r="A44" s="2">
        <v>45642</v>
      </c>
      <c r="B44" s="3">
        <v>2931</v>
      </c>
      <c r="C44" s="4" t="s">
        <v>83</v>
      </c>
      <c r="D44" s="4" t="s">
        <v>8</v>
      </c>
      <c r="E44" s="4" t="s">
        <v>13</v>
      </c>
      <c r="F44" s="4" t="s">
        <v>56</v>
      </c>
      <c r="G44" s="7">
        <v>3</v>
      </c>
      <c r="H44" s="8">
        <v>398.59</v>
      </c>
      <c r="I44" s="8">
        <f t="shared" si="0"/>
        <v>1195.77</v>
      </c>
      <c r="J44">
        <f t="shared" si="1"/>
        <v>2024</v>
      </c>
      <c r="K44">
        <f t="shared" si="2"/>
        <v>12</v>
      </c>
      <c r="L44">
        <f t="shared" si="3"/>
        <v>16</v>
      </c>
      <c r="M44">
        <f t="shared" si="4"/>
        <v>2</v>
      </c>
      <c r="N44" s="10">
        <f t="shared" si="5"/>
        <v>478.30799999999999</v>
      </c>
      <c r="O44" s="10">
        <f t="shared" si="6"/>
        <v>119.577</v>
      </c>
    </row>
    <row r="45" spans="1:15" ht="15.75" customHeight="1" x14ac:dyDescent="0.25">
      <c r="A45" s="2">
        <v>45734</v>
      </c>
      <c r="B45" s="3">
        <v>7503</v>
      </c>
      <c r="C45" s="4" t="s">
        <v>84</v>
      </c>
      <c r="D45" s="4" t="s">
        <v>8</v>
      </c>
      <c r="E45" s="4" t="s">
        <v>40</v>
      </c>
      <c r="F45" s="4" t="s">
        <v>85</v>
      </c>
      <c r="G45" s="7">
        <v>5</v>
      </c>
      <c r="H45" s="8">
        <v>692.95</v>
      </c>
      <c r="I45" s="8">
        <f t="shared" si="0"/>
        <v>3464.75</v>
      </c>
      <c r="J45">
        <f t="shared" si="1"/>
        <v>2025</v>
      </c>
      <c r="K45">
        <f t="shared" si="2"/>
        <v>3</v>
      </c>
      <c r="L45">
        <f t="shared" si="3"/>
        <v>18</v>
      </c>
      <c r="M45">
        <f t="shared" si="4"/>
        <v>3</v>
      </c>
      <c r="N45" s="10">
        <f t="shared" si="5"/>
        <v>1385.9</v>
      </c>
      <c r="O45" s="10">
        <f t="shared" si="6"/>
        <v>346.47500000000002</v>
      </c>
    </row>
    <row r="46" spans="1:15" ht="15.75" customHeight="1" x14ac:dyDescent="0.25">
      <c r="A46" s="2">
        <v>45775</v>
      </c>
      <c r="B46" s="3">
        <v>8478</v>
      </c>
      <c r="C46" s="4" t="s">
        <v>86</v>
      </c>
      <c r="D46" s="4" t="s">
        <v>27</v>
      </c>
      <c r="E46" s="4" t="s">
        <v>40</v>
      </c>
      <c r="F46" s="4" t="s">
        <v>85</v>
      </c>
      <c r="G46" s="7">
        <v>6</v>
      </c>
      <c r="H46" s="8">
        <v>2724.4</v>
      </c>
      <c r="I46" s="8">
        <f t="shared" si="0"/>
        <v>16346.400000000001</v>
      </c>
      <c r="J46">
        <f t="shared" si="1"/>
        <v>2025</v>
      </c>
      <c r="K46">
        <f t="shared" si="2"/>
        <v>4</v>
      </c>
      <c r="L46">
        <f t="shared" si="3"/>
        <v>28</v>
      </c>
      <c r="M46">
        <f t="shared" si="4"/>
        <v>2</v>
      </c>
      <c r="N46" s="10">
        <f t="shared" si="5"/>
        <v>6538.5600000000013</v>
      </c>
      <c r="O46" s="10">
        <f t="shared" si="6"/>
        <v>1634.6400000000003</v>
      </c>
    </row>
    <row r="47" spans="1:15" ht="15.75" customHeight="1" x14ac:dyDescent="0.25">
      <c r="A47" s="2">
        <v>45764</v>
      </c>
      <c r="B47" s="3">
        <v>9631</v>
      </c>
      <c r="C47" s="4" t="s">
        <v>87</v>
      </c>
      <c r="D47" s="4" t="s">
        <v>22</v>
      </c>
      <c r="E47" s="4" t="s">
        <v>19</v>
      </c>
      <c r="F47" s="4" t="s">
        <v>75</v>
      </c>
      <c r="G47" s="7">
        <v>7</v>
      </c>
      <c r="H47" s="8">
        <v>593.29999999999995</v>
      </c>
      <c r="I47" s="8">
        <f t="shared" si="0"/>
        <v>4153.0999999999995</v>
      </c>
      <c r="J47">
        <f t="shared" si="1"/>
        <v>2025</v>
      </c>
      <c r="K47">
        <f t="shared" si="2"/>
        <v>4</v>
      </c>
      <c r="L47">
        <f t="shared" si="3"/>
        <v>17</v>
      </c>
      <c r="M47">
        <f t="shared" si="4"/>
        <v>5</v>
      </c>
      <c r="N47" s="10">
        <f t="shared" si="5"/>
        <v>1661.2399999999998</v>
      </c>
      <c r="O47" s="10">
        <f t="shared" si="6"/>
        <v>415.30999999999995</v>
      </c>
    </row>
    <row r="48" spans="1:15" ht="15.75" customHeight="1" x14ac:dyDescent="0.25">
      <c r="A48" s="2">
        <v>45769</v>
      </c>
      <c r="B48" s="3">
        <v>9239</v>
      </c>
      <c r="C48" s="4" t="s">
        <v>88</v>
      </c>
      <c r="D48" s="4" t="s">
        <v>12</v>
      </c>
      <c r="E48" s="4" t="s">
        <v>19</v>
      </c>
      <c r="F48" s="4" t="s">
        <v>47</v>
      </c>
      <c r="G48" s="7">
        <v>5</v>
      </c>
      <c r="H48" s="8">
        <v>82.28</v>
      </c>
      <c r="I48" s="8">
        <f t="shared" si="0"/>
        <v>411.4</v>
      </c>
      <c r="J48">
        <f t="shared" si="1"/>
        <v>2025</v>
      </c>
      <c r="K48">
        <f t="shared" si="2"/>
        <v>4</v>
      </c>
      <c r="L48">
        <f t="shared" si="3"/>
        <v>22</v>
      </c>
      <c r="M48">
        <f t="shared" si="4"/>
        <v>3</v>
      </c>
      <c r="N48" s="10">
        <f t="shared" si="5"/>
        <v>164.56</v>
      </c>
      <c r="O48" s="10">
        <f t="shared" si="6"/>
        <v>41.14</v>
      </c>
    </row>
    <row r="49" spans="1:15" ht="15.75" customHeight="1" x14ac:dyDescent="0.25">
      <c r="A49" s="2">
        <v>45690</v>
      </c>
      <c r="B49" s="3">
        <v>6714</v>
      </c>
      <c r="C49" s="4" t="s">
        <v>89</v>
      </c>
      <c r="D49" s="4" t="s">
        <v>22</v>
      </c>
      <c r="E49" s="4" t="s">
        <v>19</v>
      </c>
      <c r="F49" s="4" t="s">
        <v>47</v>
      </c>
      <c r="G49" s="7">
        <v>3</v>
      </c>
      <c r="H49" s="8">
        <v>2256.13</v>
      </c>
      <c r="I49" s="8">
        <f t="shared" si="0"/>
        <v>6768.39</v>
      </c>
      <c r="J49">
        <f t="shared" si="1"/>
        <v>2025</v>
      </c>
      <c r="K49">
        <f t="shared" si="2"/>
        <v>2</v>
      </c>
      <c r="L49">
        <f t="shared" si="3"/>
        <v>2</v>
      </c>
      <c r="M49">
        <f t="shared" si="4"/>
        <v>1</v>
      </c>
      <c r="N49" s="10">
        <f t="shared" si="5"/>
        <v>2707.3560000000002</v>
      </c>
      <c r="O49" s="10">
        <f t="shared" si="6"/>
        <v>676.83900000000006</v>
      </c>
    </row>
    <row r="50" spans="1:15" ht="15.75" customHeight="1" x14ac:dyDescent="0.25">
      <c r="A50" s="2">
        <v>45653</v>
      </c>
      <c r="B50" s="3">
        <v>8085</v>
      </c>
      <c r="C50" s="4" t="s">
        <v>90</v>
      </c>
      <c r="D50" s="4" t="s">
        <v>16</v>
      </c>
      <c r="E50" s="4" t="s">
        <v>52</v>
      </c>
      <c r="F50" s="4" t="s">
        <v>82</v>
      </c>
      <c r="G50" s="7">
        <v>6</v>
      </c>
      <c r="H50" s="8">
        <v>997.47</v>
      </c>
      <c r="I50" s="8">
        <f t="shared" si="0"/>
        <v>5984.82</v>
      </c>
      <c r="J50">
        <f t="shared" si="1"/>
        <v>2024</v>
      </c>
      <c r="K50">
        <f t="shared" si="2"/>
        <v>12</v>
      </c>
      <c r="L50">
        <f t="shared" si="3"/>
        <v>27</v>
      </c>
      <c r="M50">
        <f t="shared" si="4"/>
        <v>6</v>
      </c>
      <c r="N50" s="10">
        <f t="shared" si="5"/>
        <v>2393.9279999999999</v>
      </c>
      <c r="O50" s="10">
        <f t="shared" si="6"/>
        <v>598.48199999999997</v>
      </c>
    </row>
    <row r="51" spans="1:15" ht="15.75" customHeight="1" x14ac:dyDescent="0.25">
      <c r="A51" s="2">
        <v>45764</v>
      </c>
      <c r="B51" s="3">
        <v>8963</v>
      </c>
      <c r="C51" s="4" t="s">
        <v>91</v>
      </c>
      <c r="D51" s="4" t="s">
        <v>16</v>
      </c>
      <c r="E51" s="4" t="s">
        <v>40</v>
      </c>
      <c r="F51" s="4" t="s">
        <v>61</v>
      </c>
      <c r="G51" s="7">
        <v>6</v>
      </c>
      <c r="H51" s="8">
        <v>1921.29</v>
      </c>
      <c r="I51" s="8">
        <f t="shared" si="0"/>
        <v>11527.74</v>
      </c>
      <c r="J51">
        <f t="shared" si="1"/>
        <v>2025</v>
      </c>
      <c r="K51">
        <f t="shared" si="2"/>
        <v>4</v>
      </c>
      <c r="L51">
        <f t="shared" si="3"/>
        <v>17</v>
      </c>
      <c r="M51">
        <f t="shared" si="4"/>
        <v>5</v>
      </c>
      <c r="N51" s="10">
        <f t="shared" si="5"/>
        <v>4611.0960000000005</v>
      </c>
      <c r="O51" s="10">
        <f t="shared" si="6"/>
        <v>1152.7740000000001</v>
      </c>
    </row>
    <row r="52" spans="1:15" ht="15.75" customHeight="1" x14ac:dyDescent="0.25">
      <c r="A52" s="2">
        <v>45647</v>
      </c>
      <c r="B52" s="3">
        <v>9585</v>
      </c>
      <c r="C52" s="4" t="s">
        <v>92</v>
      </c>
      <c r="D52" s="4" t="s">
        <v>16</v>
      </c>
      <c r="E52" s="4" t="s">
        <v>9</v>
      </c>
      <c r="F52" s="4" t="s">
        <v>10</v>
      </c>
      <c r="G52" s="7">
        <v>7</v>
      </c>
      <c r="H52" s="8">
        <v>923.47</v>
      </c>
      <c r="I52" s="8">
        <f t="shared" si="0"/>
        <v>6464.29</v>
      </c>
      <c r="J52">
        <f t="shared" si="1"/>
        <v>2024</v>
      </c>
      <c r="K52">
        <f t="shared" si="2"/>
        <v>12</v>
      </c>
      <c r="L52">
        <f t="shared" si="3"/>
        <v>21</v>
      </c>
      <c r="M52">
        <f t="shared" si="4"/>
        <v>7</v>
      </c>
      <c r="N52" s="10">
        <f t="shared" si="5"/>
        <v>2585.7160000000003</v>
      </c>
      <c r="O52" s="10">
        <f t="shared" si="6"/>
        <v>646.42900000000009</v>
      </c>
    </row>
    <row r="53" spans="1:15" ht="15.75" customHeight="1" x14ac:dyDescent="0.25">
      <c r="A53" s="2">
        <v>45797</v>
      </c>
      <c r="B53" s="3">
        <v>2587</v>
      </c>
      <c r="C53" s="4" t="s">
        <v>93</v>
      </c>
      <c r="D53" s="4" t="s">
        <v>12</v>
      </c>
      <c r="E53" s="4" t="s">
        <v>13</v>
      </c>
      <c r="F53" s="4" t="s">
        <v>30</v>
      </c>
      <c r="G53" s="7">
        <v>2</v>
      </c>
      <c r="H53" s="8">
        <v>2985.62</v>
      </c>
      <c r="I53" s="8">
        <f t="shared" si="0"/>
        <v>5971.24</v>
      </c>
      <c r="J53">
        <f t="shared" si="1"/>
        <v>2025</v>
      </c>
      <c r="K53">
        <f t="shared" si="2"/>
        <v>5</v>
      </c>
      <c r="L53">
        <f t="shared" si="3"/>
        <v>20</v>
      </c>
      <c r="M53">
        <f t="shared" si="4"/>
        <v>3</v>
      </c>
      <c r="N53" s="10">
        <f t="shared" si="5"/>
        <v>2388.4960000000001</v>
      </c>
      <c r="O53" s="10">
        <f t="shared" si="6"/>
        <v>597.12400000000002</v>
      </c>
    </row>
    <row r="54" spans="1:15" ht="15.75" customHeight="1" x14ac:dyDescent="0.25">
      <c r="A54" s="2">
        <v>45710</v>
      </c>
      <c r="B54" s="3">
        <v>5130</v>
      </c>
      <c r="C54" s="4" t="s">
        <v>94</v>
      </c>
      <c r="D54" s="4" t="s">
        <v>16</v>
      </c>
      <c r="E54" s="4" t="s">
        <v>13</v>
      </c>
      <c r="F54" s="4" t="s">
        <v>64</v>
      </c>
      <c r="G54" s="7">
        <v>6</v>
      </c>
      <c r="H54" s="8">
        <v>1114.56</v>
      </c>
      <c r="I54" s="8">
        <f t="shared" si="0"/>
        <v>6687.36</v>
      </c>
      <c r="J54">
        <f t="shared" si="1"/>
        <v>2025</v>
      </c>
      <c r="K54">
        <f t="shared" si="2"/>
        <v>2</v>
      </c>
      <c r="L54">
        <f t="shared" si="3"/>
        <v>22</v>
      </c>
      <c r="M54">
        <f t="shared" si="4"/>
        <v>7</v>
      </c>
      <c r="N54" s="10">
        <f t="shared" si="5"/>
        <v>2674.944</v>
      </c>
      <c r="O54" s="10">
        <f t="shared" si="6"/>
        <v>668.73599999999999</v>
      </c>
    </row>
    <row r="55" spans="1:15" ht="15.75" customHeight="1" x14ac:dyDescent="0.25">
      <c r="A55" s="2">
        <v>45723</v>
      </c>
      <c r="B55" s="3">
        <v>8290</v>
      </c>
      <c r="C55" s="4" t="s">
        <v>95</v>
      </c>
      <c r="D55" s="4" t="s">
        <v>16</v>
      </c>
      <c r="E55" s="4" t="s">
        <v>40</v>
      </c>
      <c r="F55" s="4" t="s">
        <v>45</v>
      </c>
      <c r="G55" s="7">
        <v>9</v>
      </c>
      <c r="H55" s="8">
        <v>2962.51</v>
      </c>
      <c r="I55" s="8">
        <f t="shared" si="0"/>
        <v>26662.590000000004</v>
      </c>
      <c r="J55">
        <f t="shared" si="1"/>
        <v>2025</v>
      </c>
      <c r="K55">
        <f t="shared" si="2"/>
        <v>3</v>
      </c>
      <c r="L55">
        <f t="shared" si="3"/>
        <v>7</v>
      </c>
      <c r="M55">
        <f t="shared" si="4"/>
        <v>6</v>
      </c>
      <c r="N55" s="10">
        <f t="shared" si="5"/>
        <v>10665.036000000002</v>
      </c>
      <c r="O55" s="10">
        <f t="shared" si="6"/>
        <v>2666.2590000000005</v>
      </c>
    </row>
    <row r="56" spans="1:15" ht="15.75" customHeight="1" x14ac:dyDescent="0.25">
      <c r="A56" s="2">
        <v>45716</v>
      </c>
      <c r="B56" s="3">
        <v>7951</v>
      </c>
      <c r="C56" s="4" t="s">
        <v>96</v>
      </c>
      <c r="D56" s="4" t="s">
        <v>16</v>
      </c>
      <c r="E56" s="4" t="s">
        <v>52</v>
      </c>
      <c r="F56" s="4" t="s">
        <v>97</v>
      </c>
      <c r="G56" s="7">
        <v>9</v>
      </c>
      <c r="H56" s="8">
        <v>2722.7</v>
      </c>
      <c r="I56" s="8">
        <f t="shared" si="0"/>
        <v>24504.3</v>
      </c>
      <c r="J56">
        <f t="shared" si="1"/>
        <v>2025</v>
      </c>
      <c r="K56">
        <f t="shared" si="2"/>
        <v>2</v>
      </c>
      <c r="L56">
        <f t="shared" si="3"/>
        <v>28</v>
      </c>
      <c r="M56">
        <f t="shared" si="4"/>
        <v>6</v>
      </c>
      <c r="N56" s="10">
        <f t="shared" si="5"/>
        <v>9801.7199999999993</v>
      </c>
      <c r="O56" s="10">
        <f t="shared" si="6"/>
        <v>2450.4299999999998</v>
      </c>
    </row>
    <row r="57" spans="1:15" ht="15.75" customHeight="1" x14ac:dyDescent="0.25">
      <c r="A57" s="2">
        <v>45653</v>
      </c>
      <c r="B57" s="3">
        <v>2340</v>
      </c>
      <c r="C57" s="4" t="s">
        <v>98</v>
      </c>
      <c r="D57" s="4" t="s">
        <v>8</v>
      </c>
      <c r="E57" s="4" t="s">
        <v>40</v>
      </c>
      <c r="F57" s="4" t="s">
        <v>45</v>
      </c>
      <c r="G57" s="7">
        <v>9</v>
      </c>
      <c r="H57" s="8">
        <v>1770.78</v>
      </c>
      <c r="I57" s="8">
        <f t="shared" si="0"/>
        <v>15937.02</v>
      </c>
      <c r="J57">
        <f t="shared" si="1"/>
        <v>2024</v>
      </c>
      <c r="K57">
        <f t="shared" si="2"/>
        <v>12</v>
      </c>
      <c r="L57">
        <f t="shared" si="3"/>
        <v>27</v>
      </c>
      <c r="M57">
        <f t="shared" si="4"/>
        <v>6</v>
      </c>
      <c r="N57" s="10">
        <f t="shared" si="5"/>
        <v>6374.8080000000009</v>
      </c>
      <c r="O57" s="10">
        <f t="shared" si="6"/>
        <v>1593.7020000000002</v>
      </c>
    </row>
    <row r="58" spans="1:15" ht="15.75" customHeight="1" x14ac:dyDescent="0.25">
      <c r="A58" s="2">
        <v>45723</v>
      </c>
      <c r="B58" s="3">
        <v>3003</v>
      </c>
      <c r="C58" s="4" t="s">
        <v>99</v>
      </c>
      <c r="D58" s="4" t="s">
        <v>37</v>
      </c>
      <c r="E58" s="4" t="s">
        <v>9</v>
      </c>
      <c r="F58" s="4" t="s">
        <v>25</v>
      </c>
      <c r="G58" s="7">
        <v>10</v>
      </c>
      <c r="H58" s="8">
        <v>1798.72</v>
      </c>
      <c r="I58" s="8">
        <f t="shared" si="0"/>
        <v>17987.2</v>
      </c>
      <c r="J58">
        <f t="shared" si="1"/>
        <v>2025</v>
      </c>
      <c r="K58">
        <f t="shared" si="2"/>
        <v>3</v>
      </c>
      <c r="L58">
        <f t="shared" si="3"/>
        <v>7</v>
      </c>
      <c r="M58">
        <f t="shared" si="4"/>
        <v>6</v>
      </c>
      <c r="N58" s="10">
        <f t="shared" si="5"/>
        <v>7194.880000000001</v>
      </c>
      <c r="O58" s="10">
        <f t="shared" si="6"/>
        <v>1798.7200000000003</v>
      </c>
    </row>
    <row r="59" spans="1:15" ht="15.75" customHeight="1" x14ac:dyDescent="0.25">
      <c r="A59" s="2">
        <v>45651</v>
      </c>
      <c r="B59" s="3">
        <v>7341</v>
      </c>
      <c r="C59" s="4" t="s">
        <v>100</v>
      </c>
      <c r="D59" s="4" t="s">
        <v>37</v>
      </c>
      <c r="E59" s="4" t="s">
        <v>52</v>
      </c>
      <c r="F59" s="4" t="s">
        <v>97</v>
      </c>
      <c r="G59" s="7">
        <v>9</v>
      </c>
      <c r="H59" s="8">
        <v>1385.18</v>
      </c>
      <c r="I59" s="8">
        <f t="shared" si="0"/>
        <v>12466.62</v>
      </c>
      <c r="J59">
        <f t="shared" si="1"/>
        <v>2024</v>
      </c>
      <c r="K59">
        <f t="shared" si="2"/>
        <v>12</v>
      </c>
      <c r="L59">
        <f t="shared" si="3"/>
        <v>25</v>
      </c>
      <c r="M59">
        <f t="shared" si="4"/>
        <v>4</v>
      </c>
      <c r="N59" s="10">
        <f t="shared" si="5"/>
        <v>4986.648000000001</v>
      </c>
      <c r="O59" s="10">
        <f t="shared" si="6"/>
        <v>1246.6620000000003</v>
      </c>
    </row>
    <row r="60" spans="1:15" ht="15.75" customHeight="1" x14ac:dyDescent="0.25">
      <c r="A60" s="2">
        <v>45712</v>
      </c>
      <c r="B60" s="3">
        <v>7331</v>
      </c>
      <c r="C60" s="4" t="s">
        <v>101</v>
      </c>
      <c r="D60" s="4" t="s">
        <v>8</v>
      </c>
      <c r="E60" s="4" t="s">
        <v>9</v>
      </c>
      <c r="F60" s="4" t="s">
        <v>102</v>
      </c>
      <c r="G60" s="7">
        <v>3</v>
      </c>
      <c r="H60" s="8">
        <v>1217.57</v>
      </c>
      <c r="I60" s="8">
        <f t="shared" si="0"/>
        <v>3652.71</v>
      </c>
      <c r="J60">
        <f t="shared" si="1"/>
        <v>2025</v>
      </c>
      <c r="K60">
        <f t="shared" si="2"/>
        <v>2</v>
      </c>
      <c r="L60">
        <f t="shared" si="3"/>
        <v>24</v>
      </c>
      <c r="M60">
        <f t="shared" si="4"/>
        <v>2</v>
      </c>
      <c r="N60" s="10">
        <f t="shared" si="5"/>
        <v>1461.0840000000001</v>
      </c>
      <c r="O60" s="10">
        <f t="shared" si="6"/>
        <v>365.27100000000002</v>
      </c>
    </row>
    <row r="61" spans="1:15" ht="15.75" customHeight="1" x14ac:dyDescent="0.25">
      <c r="A61" s="2">
        <v>45803</v>
      </c>
      <c r="B61" s="3">
        <v>3189</v>
      </c>
      <c r="C61" s="4" t="s">
        <v>103</v>
      </c>
      <c r="D61" s="4" t="s">
        <v>27</v>
      </c>
      <c r="E61" s="4" t="s">
        <v>19</v>
      </c>
      <c r="F61" s="4" t="s">
        <v>32</v>
      </c>
      <c r="G61" s="7">
        <v>1</v>
      </c>
      <c r="H61" s="8">
        <v>2524.6799999999998</v>
      </c>
      <c r="I61" s="8">
        <f t="shared" si="0"/>
        <v>2524.6799999999998</v>
      </c>
      <c r="J61">
        <f t="shared" si="1"/>
        <v>2025</v>
      </c>
      <c r="K61">
        <f t="shared" si="2"/>
        <v>5</v>
      </c>
      <c r="L61">
        <f t="shared" si="3"/>
        <v>26</v>
      </c>
      <c r="M61">
        <f t="shared" si="4"/>
        <v>2</v>
      </c>
      <c r="N61" s="10">
        <f t="shared" si="5"/>
        <v>1009.872</v>
      </c>
      <c r="O61" s="10">
        <f t="shared" si="6"/>
        <v>252.46799999999999</v>
      </c>
    </row>
    <row r="62" spans="1:15" ht="15.75" customHeight="1" x14ac:dyDescent="0.25">
      <c r="A62" s="2">
        <v>45652</v>
      </c>
      <c r="B62" s="3">
        <v>2183</v>
      </c>
      <c r="C62" s="4" t="s">
        <v>104</v>
      </c>
      <c r="D62" s="4" t="s">
        <v>16</v>
      </c>
      <c r="E62" s="4" t="s">
        <v>19</v>
      </c>
      <c r="F62" s="4" t="s">
        <v>32</v>
      </c>
      <c r="G62" s="7">
        <v>4</v>
      </c>
      <c r="H62" s="8">
        <v>2082.1999999999998</v>
      </c>
      <c r="I62" s="8">
        <f t="shared" si="0"/>
        <v>8328.7999999999993</v>
      </c>
      <c r="J62">
        <f t="shared" si="1"/>
        <v>2024</v>
      </c>
      <c r="K62">
        <f t="shared" si="2"/>
        <v>12</v>
      </c>
      <c r="L62">
        <f t="shared" si="3"/>
        <v>26</v>
      </c>
      <c r="M62">
        <f t="shared" si="4"/>
        <v>5</v>
      </c>
      <c r="N62" s="10">
        <f t="shared" si="5"/>
        <v>3331.52</v>
      </c>
      <c r="O62" s="10">
        <f t="shared" si="6"/>
        <v>832.88</v>
      </c>
    </row>
    <row r="63" spans="1:15" ht="15.75" customHeight="1" x14ac:dyDescent="0.25">
      <c r="A63" s="2">
        <v>45726</v>
      </c>
      <c r="B63" s="3">
        <v>8421</v>
      </c>
      <c r="C63" s="4" t="s">
        <v>105</v>
      </c>
      <c r="D63" s="4" t="s">
        <v>12</v>
      </c>
      <c r="E63" s="4" t="s">
        <v>19</v>
      </c>
      <c r="F63" s="4" t="s">
        <v>75</v>
      </c>
      <c r="G63" s="7">
        <v>1</v>
      </c>
      <c r="H63" s="8">
        <v>841.55</v>
      </c>
      <c r="I63" s="8">
        <f t="shared" si="0"/>
        <v>841.55</v>
      </c>
      <c r="J63">
        <f t="shared" si="1"/>
        <v>2025</v>
      </c>
      <c r="K63">
        <f t="shared" si="2"/>
        <v>3</v>
      </c>
      <c r="L63">
        <f t="shared" si="3"/>
        <v>10</v>
      </c>
      <c r="M63">
        <f t="shared" si="4"/>
        <v>2</v>
      </c>
      <c r="N63" s="10">
        <f t="shared" si="5"/>
        <v>336.62</v>
      </c>
      <c r="O63" s="10">
        <f t="shared" si="6"/>
        <v>84.155000000000001</v>
      </c>
    </row>
    <row r="64" spans="1:15" ht="15.75" customHeight="1" x14ac:dyDescent="0.25">
      <c r="A64" s="2">
        <v>45783</v>
      </c>
      <c r="B64" s="3">
        <v>4392</v>
      </c>
      <c r="C64" s="4" t="s">
        <v>106</v>
      </c>
      <c r="D64" s="4" t="s">
        <v>16</v>
      </c>
      <c r="E64" s="4" t="s">
        <v>40</v>
      </c>
      <c r="F64" s="4" t="s">
        <v>61</v>
      </c>
      <c r="G64" s="7">
        <v>10</v>
      </c>
      <c r="H64" s="8">
        <v>2302.59</v>
      </c>
      <c r="I64" s="8">
        <f t="shared" si="0"/>
        <v>23025.9</v>
      </c>
      <c r="J64">
        <f t="shared" si="1"/>
        <v>2025</v>
      </c>
      <c r="K64">
        <f t="shared" si="2"/>
        <v>5</v>
      </c>
      <c r="L64">
        <f t="shared" si="3"/>
        <v>6</v>
      </c>
      <c r="M64">
        <f t="shared" si="4"/>
        <v>3</v>
      </c>
      <c r="N64" s="10">
        <f t="shared" si="5"/>
        <v>9210.36</v>
      </c>
      <c r="O64" s="10">
        <f t="shared" si="6"/>
        <v>2302.59</v>
      </c>
    </row>
    <row r="65" spans="1:15" ht="15.75" customHeight="1" x14ac:dyDescent="0.25">
      <c r="A65" s="2">
        <v>45639</v>
      </c>
      <c r="B65" s="3">
        <v>8413</v>
      </c>
      <c r="C65" s="4" t="s">
        <v>107</v>
      </c>
      <c r="D65" s="4" t="s">
        <v>27</v>
      </c>
      <c r="E65" s="4" t="s">
        <v>9</v>
      </c>
      <c r="F65" s="4" t="s">
        <v>43</v>
      </c>
      <c r="G65" s="7">
        <v>7</v>
      </c>
      <c r="H65" s="8">
        <v>215.83</v>
      </c>
      <c r="I65" s="8">
        <f t="shared" si="0"/>
        <v>1510.8100000000002</v>
      </c>
      <c r="J65">
        <f t="shared" si="1"/>
        <v>2024</v>
      </c>
      <c r="K65">
        <f t="shared" si="2"/>
        <v>12</v>
      </c>
      <c r="L65">
        <f t="shared" si="3"/>
        <v>13</v>
      </c>
      <c r="M65">
        <f t="shared" si="4"/>
        <v>6</v>
      </c>
      <c r="N65" s="10">
        <f t="shared" si="5"/>
        <v>604.32400000000007</v>
      </c>
      <c r="O65" s="10">
        <f t="shared" si="6"/>
        <v>151.08100000000002</v>
      </c>
    </row>
    <row r="66" spans="1:15" ht="15.75" customHeight="1" x14ac:dyDescent="0.25">
      <c r="A66" s="2">
        <v>45818</v>
      </c>
      <c r="B66" s="3">
        <v>9812</v>
      </c>
      <c r="C66" s="4" t="s">
        <v>108</v>
      </c>
      <c r="D66" s="4" t="s">
        <v>8</v>
      </c>
      <c r="E66" s="4" t="s">
        <v>52</v>
      </c>
      <c r="F66" s="4" t="s">
        <v>72</v>
      </c>
      <c r="G66" s="7">
        <v>9</v>
      </c>
      <c r="H66" s="8">
        <v>934.59</v>
      </c>
      <c r="I66" s="8">
        <f t="shared" si="0"/>
        <v>8411.31</v>
      </c>
      <c r="J66">
        <f t="shared" si="1"/>
        <v>2025</v>
      </c>
      <c r="K66">
        <f t="shared" si="2"/>
        <v>6</v>
      </c>
      <c r="L66">
        <f t="shared" si="3"/>
        <v>10</v>
      </c>
      <c r="M66">
        <f t="shared" si="4"/>
        <v>3</v>
      </c>
      <c r="N66" s="10">
        <f t="shared" si="5"/>
        <v>3364.5239999999999</v>
      </c>
      <c r="O66" s="10">
        <f t="shared" si="6"/>
        <v>841.13099999999997</v>
      </c>
    </row>
    <row r="67" spans="1:15" ht="15.75" customHeight="1" x14ac:dyDescent="0.25">
      <c r="A67" s="2">
        <v>45759</v>
      </c>
      <c r="B67" s="3">
        <v>4562</v>
      </c>
      <c r="C67" s="4" t="s">
        <v>109</v>
      </c>
      <c r="D67" s="4" t="s">
        <v>12</v>
      </c>
      <c r="E67" s="4" t="s">
        <v>19</v>
      </c>
      <c r="F67" s="4" t="s">
        <v>47</v>
      </c>
      <c r="G67" s="7">
        <v>10</v>
      </c>
      <c r="H67" s="8">
        <v>2094.2399999999998</v>
      </c>
      <c r="I67" s="8">
        <f t="shared" ref="I67:I130" si="7">G67*H67</f>
        <v>20942.399999999998</v>
      </c>
      <c r="J67">
        <f t="shared" ref="J67:J130" si="8">YEAR(A67)</f>
        <v>2025</v>
      </c>
      <c r="K67">
        <f t="shared" ref="K67:K130" si="9">MONTH(A67)</f>
        <v>4</v>
      </c>
      <c r="L67">
        <f t="shared" ref="L67:L130" si="10">DAY(A67)</f>
        <v>12</v>
      </c>
      <c r="M67">
        <f t="shared" ref="M67:M130" si="11">WEEKDAY(A67)</f>
        <v>7</v>
      </c>
      <c r="N67" s="10">
        <f t="shared" ref="N67:N130" si="12">I67*0.4</f>
        <v>8376.9599999999991</v>
      </c>
      <c r="O67" s="10">
        <f t="shared" ref="O67:O130" si="13">I67*0.1</f>
        <v>2094.2399999999998</v>
      </c>
    </row>
    <row r="68" spans="1:15" ht="15.75" customHeight="1" x14ac:dyDescent="0.25">
      <c r="A68" s="2">
        <v>45675</v>
      </c>
      <c r="B68" s="3">
        <v>5156</v>
      </c>
      <c r="C68" s="4" t="s">
        <v>110</v>
      </c>
      <c r="D68" s="4" t="s">
        <v>16</v>
      </c>
      <c r="E68" s="4" t="s">
        <v>19</v>
      </c>
      <c r="F68" s="4" t="s">
        <v>23</v>
      </c>
      <c r="G68" s="7">
        <v>5</v>
      </c>
      <c r="H68" s="8">
        <v>457.74</v>
      </c>
      <c r="I68" s="8">
        <f t="shared" si="7"/>
        <v>2288.6999999999998</v>
      </c>
      <c r="J68">
        <f t="shared" si="8"/>
        <v>2025</v>
      </c>
      <c r="K68">
        <f t="shared" si="9"/>
        <v>1</v>
      </c>
      <c r="L68">
        <f t="shared" si="10"/>
        <v>18</v>
      </c>
      <c r="M68">
        <f t="shared" si="11"/>
        <v>7</v>
      </c>
      <c r="N68" s="10">
        <f t="shared" si="12"/>
        <v>915.48</v>
      </c>
      <c r="O68" s="10">
        <f t="shared" si="13"/>
        <v>228.87</v>
      </c>
    </row>
    <row r="69" spans="1:15" ht="15.75" customHeight="1" x14ac:dyDescent="0.25">
      <c r="A69" s="2">
        <v>45757</v>
      </c>
      <c r="B69" s="3">
        <v>4693</v>
      </c>
      <c r="C69" s="4" t="s">
        <v>111</v>
      </c>
      <c r="D69" s="4" t="s">
        <v>16</v>
      </c>
      <c r="E69" s="4" t="s">
        <v>9</v>
      </c>
      <c r="F69" s="4" t="s">
        <v>43</v>
      </c>
      <c r="G69" s="7">
        <v>7</v>
      </c>
      <c r="H69" s="8">
        <v>2258.73</v>
      </c>
      <c r="I69" s="8">
        <f t="shared" si="7"/>
        <v>15811.11</v>
      </c>
      <c r="J69">
        <f t="shared" si="8"/>
        <v>2025</v>
      </c>
      <c r="K69">
        <f t="shared" si="9"/>
        <v>4</v>
      </c>
      <c r="L69">
        <f t="shared" si="10"/>
        <v>10</v>
      </c>
      <c r="M69">
        <f t="shared" si="11"/>
        <v>5</v>
      </c>
      <c r="N69" s="10">
        <f t="shared" si="12"/>
        <v>6324.4440000000004</v>
      </c>
      <c r="O69" s="10">
        <f t="shared" si="13"/>
        <v>1581.1110000000001</v>
      </c>
    </row>
    <row r="70" spans="1:15" ht="15.75" customHeight="1" x14ac:dyDescent="0.25">
      <c r="A70" s="2">
        <v>45726</v>
      </c>
      <c r="B70" s="3">
        <v>6741</v>
      </c>
      <c r="C70" s="4" t="s">
        <v>112</v>
      </c>
      <c r="D70" s="4" t="s">
        <v>27</v>
      </c>
      <c r="E70" s="4" t="s">
        <v>9</v>
      </c>
      <c r="F70" s="4" t="s">
        <v>28</v>
      </c>
      <c r="G70" s="7">
        <v>9</v>
      </c>
      <c r="H70" s="8">
        <v>2897.17</v>
      </c>
      <c r="I70" s="8">
        <f t="shared" si="7"/>
        <v>26074.53</v>
      </c>
      <c r="J70">
        <f t="shared" si="8"/>
        <v>2025</v>
      </c>
      <c r="K70">
        <f t="shared" si="9"/>
        <v>3</v>
      </c>
      <c r="L70">
        <f t="shared" si="10"/>
        <v>10</v>
      </c>
      <c r="M70">
        <f t="shared" si="11"/>
        <v>2</v>
      </c>
      <c r="N70" s="10">
        <f t="shared" si="12"/>
        <v>10429.812</v>
      </c>
      <c r="O70" s="10">
        <f t="shared" si="13"/>
        <v>2607.453</v>
      </c>
    </row>
    <row r="71" spans="1:15" ht="15.75" customHeight="1" x14ac:dyDescent="0.25">
      <c r="A71" s="2">
        <v>45646</v>
      </c>
      <c r="B71" s="3">
        <v>5124</v>
      </c>
      <c r="C71" s="4" t="s">
        <v>113</v>
      </c>
      <c r="D71" s="4" t="s">
        <v>8</v>
      </c>
      <c r="E71" s="4" t="s">
        <v>9</v>
      </c>
      <c r="F71" s="4" t="s">
        <v>43</v>
      </c>
      <c r="G71" s="7">
        <v>10</v>
      </c>
      <c r="H71" s="8">
        <v>162.51</v>
      </c>
      <c r="I71" s="8">
        <f t="shared" si="7"/>
        <v>1625.1</v>
      </c>
      <c r="J71">
        <f t="shared" si="8"/>
        <v>2024</v>
      </c>
      <c r="K71">
        <f t="shared" si="9"/>
        <v>12</v>
      </c>
      <c r="L71">
        <f t="shared" si="10"/>
        <v>20</v>
      </c>
      <c r="M71">
        <f t="shared" si="11"/>
        <v>6</v>
      </c>
      <c r="N71" s="10">
        <f t="shared" si="12"/>
        <v>650.04</v>
      </c>
      <c r="O71" s="10">
        <f t="shared" si="13"/>
        <v>162.51</v>
      </c>
    </row>
    <row r="72" spans="1:15" ht="15.75" customHeight="1" x14ac:dyDescent="0.25">
      <c r="A72" s="2">
        <v>45806</v>
      </c>
      <c r="B72" s="3">
        <v>2031</v>
      </c>
      <c r="C72" s="4" t="s">
        <v>114</v>
      </c>
      <c r="D72" s="4" t="s">
        <v>16</v>
      </c>
      <c r="E72" s="4" t="s">
        <v>19</v>
      </c>
      <c r="F72" s="4" t="s">
        <v>20</v>
      </c>
      <c r="G72" s="7">
        <v>9</v>
      </c>
      <c r="H72" s="8">
        <v>2458.54</v>
      </c>
      <c r="I72" s="8">
        <f t="shared" si="7"/>
        <v>22126.86</v>
      </c>
      <c r="J72">
        <f t="shared" si="8"/>
        <v>2025</v>
      </c>
      <c r="K72">
        <f t="shared" si="9"/>
        <v>5</v>
      </c>
      <c r="L72">
        <f t="shared" si="10"/>
        <v>29</v>
      </c>
      <c r="M72">
        <f t="shared" si="11"/>
        <v>5</v>
      </c>
      <c r="N72" s="10">
        <f t="shared" si="12"/>
        <v>8850.7440000000006</v>
      </c>
      <c r="O72" s="10">
        <f t="shared" si="13"/>
        <v>2212.6860000000001</v>
      </c>
    </row>
    <row r="73" spans="1:15" ht="15.75" customHeight="1" x14ac:dyDescent="0.25">
      <c r="A73" s="2">
        <v>45645</v>
      </c>
      <c r="B73" s="3">
        <v>4729</v>
      </c>
      <c r="C73" s="4" t="s">
        <v>115</v>
      </c>
      <c r="D73" s="4" t="s">
        <v>8</v>
      </c>
      <c r="E73" s="4" t="s">
        <v>52</v>
      </c>
      <c r="F73" s="4" t="s">
        <v>53</v>
      </c>
      <c r="G73" s="7">
        <v>9</v>
      </c>
      <c r="H73" s="8">
        <v>1811.24</v>
      </c>
      <c r="I73" s="8">
        <f t="shared" si="7"/>
        <v>16301.16</v>
      </c>
      <c r="J73">
        <f t="shared" si="8"/>
        <v>2024</v>
      </c>
      <c r="K73">
        <f t="shared" si="9"/>
        <v>12</v>
      </c>
      <c r="L73">
        <f t="shared" si="10"/>
        <v>19</v>
      </c>
      <c r="M73">
        <f t="shared" si="11"/>
        <v>5</v>
      </c>
      <c r="N73" s="10">
        <f t="shared" si="12"/>
        <v>6520.4639999999999</v>
      </c>
      <c r="O73" s="10">
        <f t="shared" si="13"/>
        <v>1630.116</v>
      </c>
    </row>
    <row r="74" spans="1:15" ht="15.75" customHeight="1" x14ac:dyDescent="0.25">
      <c r="A74" s="2">
        <v>45648</v>
      </c>
      <c r="B74" s="3">
        <v>6804</v>
      </c>
      <c r="C74" s="4" t="s">
        <v>116</v>
      </c>
      <c r="D74" s="4" t="s">
        <v>12</v>
      </c>
      <c r="E74" s="4" t="s">
        <v>13</v>
      </c>
      <c r="F74" s="4" t="s">
        <v>30</v>
      </c>
      <c r="G74" s="7">
        <v>1</v>
      </c>
      <c r="H74" s="8">
        <v>207.49</v>
      </c>
      <c r="I74" s="8">
        <f t="shared" si="7"/>
        <v>207.49</v>
      </c>
      <c r="J74">
        <f t="shared" si="8"/>
        <v>2024</v>
      </c>
      <c r="K74">
        <f t="shared" si="9"/>
        <v>12</v>
      </c>
      <c r="L74">
        <f t="shared" si="10"/>
        <v>22</v>
      </c>
      <c r="M74">
        <f t="shared" si="11"/>
        <v>1</v>
      </c>
      <c r="N74" s="10">
        <f t="shared" si="12"/>
        <v>82.996000000000009</v>
      </c>
      <c r="O74" s="10">
        <f t="shared" si="13"/>
        <v>20.749000000000002</v>
      </c>
    </row>
    <row r="75" spans="1:15" ht="15.75" customHeight="1" x14ac:dyDescent="0.25">
      <c r="A75" s="2">
        <v>45728</v>
      </c>
      <c r="B75" s="3">
        <v>4011</v>
      </c>
      <c r="C75" s="4" t="s">
        <v>117</v>
      </c>
      <c r="D75" s="4" t="s">
        <v>12</v>
      </c>
      <c r="E75" s="4" t="s">
        <v>19</v>
      </c>
      <c r="F75" s="4" t="s">
        <v>23</v>
      </c>
      <c r="G75" s="7">
        <v>2</v>
      </c>
      <c r="H75" s="8">
        <v>801.95</v>
      </c>
      <c r="I75" s="8">
        <f t="shared" si="7"/>
        <v>1603.9</v>
      </c>
      <c r="J75">
        <f t="shared" si="8"/>
        <v>2025</v>
      </c>
      <c r="K75">
        <f t="shared" si="9"/>
        <v>3</v>
      </c>
      <c r="L75">
        <f t="shared" si="10"/>
        <v>12</v>
      </c>
      <c r="M75">
        <f t="shared" si="11"/>
        <v>4</v>
      </c>
      <c r="N75" s="10">
        <f t="shared" si="12"/>
        <v>641.56000000000006</v>
      </c>
      <c r="O75" s="10">
        <f t="shared" si="13"/>
        <v>160.39000000000001</v>
      </c>
    </row>
    <row r="76" spans="1:15" ht="15.75" customHeight="1" x14ac:dyDescent="0.25">
      <c r="A76" s="2">
        <v>45719</v>
      </c>
      <c r="B76" s="3">
        <v>8053</v>
      </c>
      <c r="C76" s="4" t="s">
        <v>118</v>
      </c>
      <c r="D76" s="4" t="s">
        <v>27</v>
      </c>
      <c r="E76" s="4" t="s">
        <v>40</v>
      </c>
      <c r="F76" s="4" t="s">
        <v>61</v>
      </c>
      <c r="G76" s="7">
        <v>2</v>
      </c>
      <c r="H76" s="8">
        <v>890.08</v>
      </c>
      <c r="I76" s="8">
        <f t="shared" si="7"/>
        <v>1780.16</v>
      </c>
      <c r="J76">
        <f t="shared" si="8"/>
        <v>2025</v>
      </c>
      <c r="K76">
        <f t="shared" si="9"/>
        <v>3</v>
      </c>
      <c r="L76">
        <f t="shared" si="10"/>
        <v>3</v>
      </c>
      <c r="M76">
        <f t="shared" si="11"/>
        <v>2</v>
      </c>
      <c r="N76" s="10">
        <f t="shared" si="12"/>
        <v>712.06400000000008</v>
      </c>
      <c r="O76" s="10">
        <f t="shared" si="13"/>
        <v>178.01600000000002</v>
      </c>
    </row>
    <row r="77" spans="1:15" ht="15.75" customHeight="1" x14ac:dyDescent="0.25">
      <c r="A77" s="2">
        <v>45643</v>
      </c>
      <c r="B77" s="3">
        <v>6284</v>
      </c>
      <c r="C77" s="4" t="s">
        <v>119</v>
      </c>
      <c r="D77" s="4" t="s">
        <v>8</v>
      </c>
      <c r="E77" s="4" t="s">
        <v>9</v>
      </c>
      <c r="F77" s="4" t="s">
        <v>102</v>
      </c>
      <c r="G77" s="7">
        <v>10</v>
      </c>
      <c r="H77" s="8">
        <v>34.15</v>
      </c>
      <c r="I77" s="8">
        <f t="shared" si="7"/>
        <v>341.5</v>
      </c>
      <c r="J77">
        <f t="shared" si="8"/>
        <v>2024</v>
      </c>
      <c r="K77">
        <f t="shared" si="9"/>
        <v>12</v>
      </c>
      <c r="L77">
        <f t="shared" si="10"/>
        <v>17</v>
      </c>
      <c r="M77">
        <f t="shared" si="11"/>
        <v>3</v>
      </c>
      <c r="N77" s="10">
        <f t="shared" si="12"/>
        <v>136.6</v>
      </c>
      <c r="O77" s="10">
        <f t="shared" si="13"/>
        <v>34.15</v>
      </c>
    </row>
    <row r="78" spans="1:15" ht="15.75" customHeight="1" x14ac:dyDescent="0.25">
      <c r="A78" s="2">
        <v>45707</v>
      </c>
      <c r="B78" s="3">
        <v>9988</v>
      </c>
      <c r="C78" s="4" t="s">
        <v>120</v>
      </c>
      <c r="D78" s="4" t="s">
        <v>8</v>
      </c>
      <c r="E78" s="4" t="s">
        <v>19</v>
      </c>
      <c r="F78" s="4" t="s">
        <v>23</v>
      </c>
      <c r="G78" s="7">
        <v>1</v>
      </c>
      <c r="H78" s="8">
        <v>505.04</v>
      </c>
      <c r="I78" s="8">
        <f t="shared" si="7"/>
        <v>505.04</v>
      </c>
      <c r="J78">
        <f t="shared" si="8"/>
        <v>2025</v>
      </c>
      <c r="K78">
        <f t="shared" si="9"/>
        <v>2</v>
      </c>
      <c r="L78">
        <f t="shared" si="10"/>
        <v>19</v>
      </c>
      <c r="M78">
        <f t="shared" si="11"/>
        <v>4</v>
      </c>
      <c r="N78" s="10">
        <f t="shared" si="12"/>
        <v>202.01600000000002</v>
      </c>
      <c r="O78" s="10">
        <f t="shared" si="13"/>
        <v>50.504000000000005</v>
      </c>
    </row>
    <row r="79" spans="1:15" ht="15.75" customHeight="1" x14ac:dyDescent="0.25">
      <c r="A79" s="2">
        <v>45641</v>
      </c>
      <c r="B79" s="3">
        <v>7336</v>
      </c>
      <c r="C79" s="4" t="s">
        <v>121</v>
      </c>
      <c r="D79" s="4" t="s">
        <v>63</v>
      </c>
      <c r="E79" s="4" t="s">
        <v>40</v>
      </c>
      <c r="F79" s="4" t="s">
        <v>61</v>
      </c>
      <c r="G79" s="7">
        <v>3</v>
      </c>
      <c r="H79" s="8">
        <v>2208.48</v>
      </c>
      <c r="I79" s="8">
        <f t="shared" si="7"/>
        <v>6625.4400000000005</v>
      </c>
      <c r="J79">
        <f t="shared" si="8"/>
        <v>2024</v>
      </c>
      <c r="K79">
        <f t="shared" si="9"/>
        <v>12</v>
      </c>
      <c r="L79">
        <f t="shared" si="10"/>
        <v>15</v>
      </c>
      <c r="M79">
        <f t="shared" si="11"/>
        <v>1</v>
      </c>
      <c r="N79" s="10">
        <f t="shared" si="12"/>
        <v>2650.1760000000004</v>
      </c>
      <c r="O79" s="10">
        <f t="shared" si="13"/>
        <v>662.5440000000001</v>
      </c>
    </row>
    <row r="80" spans="1:15" ht="15.75" customHeight="1" x14ac:dyDescent="0.25">
      <c r="A80" s="2">
        <v>45806</v>
      </c>
      <c r="B80" s="3">
        <v>1956</v>
      </c>
      <c r="C80" s="4" t="s">
        <v>122</v>
      </c>
      <c r="D80" s="4" t="s">
        <v>12</v>
      </c>
      <c r="E80" s="4" t="s">
        <v>13</v>
      </c>
      <c r="F80" s="4" t="s">
        <v>17</v>
      </c>
      <c r="G80" s="7">
        <v>9</v>
      </c>
      <c r="H80" s="8">
        <v>2371.9899999999998</v>
      </c>
      <c r="I80" s="8">
        <f t="shared" si="7"/>
        <v>21347.909999999996</v>
      </c>
      <c r="J80">
        <f t="shared" si="8"/>
        <v>2025</v>
      </c>
      <c r="K80">
        <f t="shared" si="9"/>
        <v>5</v>
      </c>
      <c r="L80">
        <f t="shared" si="10"/>
        <v>29</v>
      </c>
      <c r="M80">
        <f t="shared" si="11"/>
        <v>5</v>
      </c>
      <c r="N80" s="10">
        <f t="shared" si="12"/>
        <v>8539.1639999999989</v>
      </c>
      <c r="O80" s="10">
        <f t="shared" si="13"/>
        <v>2134.7909999999997</v>
      </c>
    </row>
    <row r="81" spans="1:15" ht="15.75" customHeight="1" x14ac:dyDescent="0.25">
      <c r="A81" s="2">
        <v>45806</v>
      </c>
      <c r="B81" s="3">
        <v>3703</v>
      </c>
      <c r="C81" s="4" t="s">
        <v>123</v>
      </c>
      <c r="D81" s="4" t="s">
        <v>8</v>
      </c>
      <c r="E81" s="4" t="s">
        <v>9</v>
      </c>
      <c r="F81" s="4" t="s">
        <v>10</v>
      </c>
      <c r="G81" s="7">
        <v>7</v>
      </c>
      <c r="H81" s="8">
        <v>384.78</v>
      </c>
      <c r="I81" s="8">
        <f t="shared" si="7"/>
        <v>2693.46</v>
      </c>
      <c r="J81">
        <f t="shared" si="8"/>
        <v>2025</v>
      </c>
      <c r="K81">
        <f t="shared" si="9"/>
        <v>5</v>
      </c>
      <c r="L81">
        <f t="shared" si="10"/>
        <v>29</v>
      </c>
      <c r="M81">
        <f t="shared" si="11"/>
        <v>5</v>
      </c>
      <c r="N81" s="10">
        <f t="shared" si="12"/>
        <v>1077.384</v>
      </c>
      <c r="O81" s="10">
        <f t="shared" si="13"/>
        <v>269.346</v>
      </c>
    </row>
    <row r="82" spans="1:15" ht="15.75" customHeight="1" x14ac:dyDescent="0.25">
      <c r="A82" s="2">
        <v>45670</v>
      </c>
      <c r="B82" s="3">
        <v>2482</v>
      </c>
      <c r="C82" s="4" t="s">
        <v>124</v>
      </c>
      <c r="D82" s="4" t="s">
        <v>37</v>
      </c>
      <c r="E82" s="4" t="s">
        <v>52</v>
      </c>
      <c r="F82" s="4" t="s">
        <v>53</v>
      </c>
      <c r="G82" s="7">
        <v>2</v>
      </c>
      <c r="H82" s="8">
        <v>999.76</v>
      </c>
      <c r="I82" s="8">
        <f t="shared" si="7"/>
        <v>1999.52</v>
      </c>
      <c r="J82">
        <f t="shared" si="8"/>
        <v>2025</v>
      </c>
      <c r="K82">
        <f t="shared" si="9"/>
        <v>1</v>
      </c>
      <c r="L82">
        <f t="shared" si="10"/>
        <v>13</v>
      </c>
      <c r="M82">
        <f t="shared" si="11"/>
        <v>2</v>
      </c>
      <c r="N82" s="10">
        <f t="shared" si="12"/>
        <v>799.80799999999999</v>
      </c>
      <c r="O82" s="10">
        <f t="shared" si="13"/>
        <v>199.952</v>
      </c>
    </row>
    <row r="83" spans="1:15" ht="15.75" customHeight="1" x14ac:dyDescent="0.25">
      <c r="A83" s="2">
        <v>45758</v>
      </c>
      <c r="B83" s="3">
        <v>1070</v>
      </c>
      <c r="C83" s="4" t="s">
        <v>125</v>
      </c>
      <c r="D83" s="4" t="s">
        <v>12</v>
      </c>
      <c r="E83" s="4" t="s">
        <v>9</v>
      </c>
      <c r="F83" s="4" t="s">
        <v>28</v>
      </c>
      <c r="G83" s="7">
        <v>7</v>
      </c>
      <c r="H83" s="8">
        <v>2220.94</v>
      </c>
      <c r="I83" s="8">
        <f t="shared" si="7"/>
        <v>15546.58</v>
      </c>
      <c r="J83">
        <f t="shared" si="8"/>
        <v>2025</v>
      </c>
      <c r="K83">
        <f t="shared" si="9"/>
        <v>4</v>
      </c>
      <c r="L83">
        <f t="shared" si="10"/>
        <v>11</v>
      </c>
      <c r="M83">
        <f t="shared" si="11"/>
        <v>6</v>
      </c>
      <c r="N83" s="10">
        <f t="shared" si="12"/>
        <v>6218.6320000000005</v>
      </c>
      <c r="O83" s="10">
        <f t="shared" si="13"/>
        <v>1554.6580000000001</v>
      </c>
    </row>
    <row r="84" spans="1:15" ht="15.75" customHeight="1" x14ac:dyDescent="0.25">
      <c r="A84" s="2">
        <v>45787</v>
      </c>
      <c r="B84" s="3">
        <v>7166</v>
      </c>
      <c r="C84" s="4" t="s">
        <v>126</v>
      </c>
      <c r="D84" s="4" t="s">
        <v>12</v>
      </c>
      <c r="E84" s="4" t="s">
        <v>19</v>
      </c>
      <c r="F84" s="4" t="s">
        <v>20</v>
      </c>
      <c r="G84" s="7">
        <v>10</v>
      </c>
      <c r="H84" s="8">
        <v>1462.31</v>
      </c>
      <c r="I84" s="8">
        <f t="shared" si="7"/>
        <v>14623.099999999999</v>
      </c>
      <c r="J84">
        <f t="shared" si="8"/>
        <v>2025</v>
      </c>
      <c r="K84">
        <f t="shared" si="9"/>
        <v>5</v>
      </c>
      <c r="L84">
        <f t="shared" si="10"/>
        <v>10</v>
      </c>
      <c r="M84">
        <f t="shared" si="11"/>
        <v>7</v>
      </c>
      <c r="N84" s="10">
        <f t="shared" si="12"/>
        <v>5849.24</v>
      </c>
      <c r="O84" s="10">
        <f t="shared" si="13"/>
        <v>1462.31</v>
      </c>
    </row>
    <row r="85" spans="1:15" ht="15.75" customHeight="1" x14ac:dyDescent="0.25">
      <c r="A85" s="2">
        <v>45809</v>
      </c>
      <c r="B85" s="3">
        <v>4924</v>
      </c>
      <c r="C85" s="4" t="s">
        <v>127</v>
      </c>
      <c r="D85" s="4" t="s">
        <v>8</v>
      </c>
      <c r="E85" s="4" t="s">
        <v>52</v>
      </c>
      <c r="F85" s="4" t="s">
        <v>53</v>
      </c>
      <c r="G85" s="7">
        <v>4</v>
      </c>
      <c r="H85" s="8">
        <v>2664.66</v>
      </c>
      <c r="I85" s="8">
        <f t="shared" si="7"/>
        <v>10658.64</v>
      </c>
      <c r="J85">
        <f t="shared" si="8"/>
        <v>2025</v>
      </c>
      <c r="K85">
        <f t="shared" si="9"/>
        <v>6</v>
      </c>
      <c r="L85">
        <f t="shared" si="10"/>
        <v>1</v>
      </c>
      <c r="M85">
        <f t="shared" si="11"/>
        <v>1</v>
      </c>
      <c r="N85" s="10">
        <f t="shared" si="12"/>
        <v>4263.4560000000001</v>
      </c>
      <c r="O85" s="10">
        <f t="shared" si="13"/>
        <v>1065.864</v>
      </c>
    </row>
    <row r="86" spans="1:15" ht="15.75" customHeight="1" x14ac:dyDescent="0.25">
      <c r="A86" s="2">
        <v>45786</v>
      </c>
      <c r="B86" s="3">
        <v>3280</v>
      </c>
      <c r="C86" s="4" t="s">
        <v>128</v>
      </c>
      <c r="D86" s="4" t="s">
        <v>8</v>
      </c>
      <c r="E86" s="4" t="s">
        <v>40</v>
      </c>
      <c r="F86" s="4" t="s">
        <v>85</v>
      </c>
      <c r="G86" s="7">
        <v>10</v>
      </c>
      <c r="H86" s="8">
        <v>2368.75</v>
      </c>
      <c r="I86" s="8">
        <f t="shared" si="7"/>
        <v>23687.5</v>
      </c>
      <c r="J86">
        <f t="shared" si="8"/>
        <v>2025</v>
      </c>
      <c r="K86">
        <f t="shared" si="9"/>
        <v>5</v>
      </c>
      <c r="L86">
        <f t="shared" si="10"/>
        <v>9</v>
      </c>
      <c r="M86">
        <f t="shared" si="11"/>
        <v>6</v>
      </c>
      <c r="N86" s="10">
        <f t="shared" si="12"/>
        <v>9475</v>
      </c>
      <c r="O86" s="10">
        <f t="shared" si="13"/>
        <v>2368.75</v>
      </c>
    </row>
    <row r="87" spans="1:15" ht="15.75" customHeight="1" x14ac:dyDescent="0.25">
      <c r="A87" s="2">
        <v>45737</v>
      </c>
      <c r="B87" s="3">
        <v>6397</v>
      </c>
      <c r="C87" s="4" t="s">
        <v>129</v>
      </c>
      <c r="D87" s="4" t="s">
        <v>8</v>
      </c>
      <c r="E87" s="4" t="s">
        <v>13</v>
      </c>
      <c r="F87" s="4" t="s">
        <v>64</v>
      </c>
      <c r="G87" s="7">
        <v>10</v>
      </c>
      <c r="H87" s="8">
        <v>2557.5</v>
      </c>
      <c r="I87" s="8">
        <f t="shared" si="7"/>
        <v>25575</v>
      </c>
      <c r="J87">
        <f t="shared" si="8"/>
        <v>2025</v>
      </c>
      <c r="K87">
        <f t="shared" si="9"/>
        <v>3</v>
      </c>
      <c r="L87">
        <f t="shared" si="10"/>
        <v>21</v>
      </c>
      <c r="M87">
        <f t="shared" si="11"/>
        <v>6</v>
      </c>
      <c r="N87" s="10">
        <f t="shared" si="12"/>
        <v>10230</v>
      </c>
      <c r="O87" s="10">
        <f t="shared" si="13"/>
        <v>2557.5</v>
      </c>
    </row>
    <row r="88" spans="1:15" ht="15.75" customHeight="1" x14ac:dyDescent="0.25">
      <c r="A88" s="2">
        <v>45774</v>
      </c>
      <c r="B88" s="3">
        <v>5032</v>
      </c>
      <c r="C88" s="4" t="s">
        <v>130</v>
      </c>
      <c r="D88" s="4" t="s">
        <v>63</v>
      </c>
      <c r="E88" s="4" t="s">
        <v>13</v>
      </c>
      <c r="F88" s="4" t="s">
        <v>17</v>
      </c>
      <c r="G88" s="7">
        <v>4</v>
      </c>
      <c r="H88" s="8">
        <v>56.89</v>
      </c>
      <c r="I88" s="8">
        <f t="shared" si="7"/>
        <v>227.56</v>
      </c>
      <c r="J88">
        <f t="shared" si="8"/>
        <v>2025</v>
      </c>
      <c r="K88">
        <f t="shared" si="9"/>
        <v>4</v>
      </c>
      <c r="L88">
        <f t="shared" si="10"/>
        <v>27</v>
      </c>
      <c r="M88">
        <f t="shared" si="11"/>
        <v>1</v>
      </c>
      <c r="N88" s="10">
        <f t="shared" si="12"/>
        <v>91.024000000000001</v>
      </c>
      <c r="O88" s="10">
        <f t="shared" si="13"/>
        <v>22.756</v>
      </c>
    </row>
    <row r="89" spans="1:15" ht="15.75" customHeight="1" x14ac:dyDescent="0.25">
      <c r="A89" s="2">
        <v>45731</v>
      </c>
      <c r="B89" s="3">
        <v>4658</v>
      </c>
      <c r="C89" s="4" t="s">
        <v>131</v>
      </c>
      <c r="D89" s="4" t="s">
        <v>37</v>
      </c>
      <c r="E89" s="4" t="s">
        <v>52</v>
      </c>
      <c r="F89" s="4" t="s">
        <v>72</v>
      </c>
      <c r="G89" s="7">
        <v>7</v>
      </c>
      <c r="H89" s="8">
        <v>1692.65</v>
      </c>
      <c r="I89" s="8">
        <f t="shared" si="7"/>
        <v>11848.550000000001</v>
      </c>
      <c r="J89">
        <f t="shared" si="8"/>
        <v>2025</v>
      </c>
      <c r="K89">
        <f t="shared" si="9"/>
        <v>3</v>
      </c>
      <c r="L89">
        <f t="shared" si="10"/>
        <v>15</v>
      </c>
      <c r="M89">
        <f t="shared" si="11"/>
        <v>7</v>
      </c>
      <c r="N89" s="10">
        <f t="shared" si="12"/>
        <v>4739.420000000001</v>
      </c>
      <c r="O89" s="10">
        <f t="shared" si="13"/>
        <v>1184.8550000000002</v>
      </c>
    </row>
    <row r="90" spans="1:15" ht="15.75" customHeight="1" x14ac:dyDescent="0.25">
      <c r="A90" s="2">
        <v>45807</v>
      </c>
      <c r="B90" s="3">
        <v>7919</v>
      </c>
      <c r="C90" s="4" t="s">
        <v>132</v>
      </c>
      <c r="D90" s="4" t="s">
        <v>37</v>
      </c>
      <c r="E90" s="4" t="s">
        <v>52</v>
      </c>
      <c r="F90" s="4" t="s">
        <v>97</v>
      </c>
      <c r="G90" s="7">
        <v>5</v>
      </c>
      <c r="H90" s="8">
        <v>1264.31</v>
      </c>
      <c r="I90" s="8">
        <f t="shared" si="7"/>
        <v>6321.5499999999993</v>
      </c>
      <c r="J90">
        <f t="shared" si="8"/>
        <v>2025</v>
      </c>
      <c r="K90">
        <f t="shared" si="9"/>
        <v>5</v>
      </c>
      <c r="L90">
        <f t="shared" si="10"/>
        <v>30</v>
      </c>
      <c r="M90">
        <f t="shared" si="11"/>
        <v>6</v>
      </c>
      <c r="N90" s="10">
        <f t="shared" si="12"/>
        <v>2528.62</v>
      </c>
      <c r="O90" s="10">
        <f t="shared" si="13"/>
        <v>632.15499999999997</v>
      </c>
    </row>
    <row r="91" spans="1:15" ht="15.75" customHeight="1" x14ac:dyDescent="0.25">
      <c r="A91" s="2">
        <v>45781</v>
      </c>
      <c r="B91" s="3">
        <v>2848</v>
      </c>
      <c r="C91" s="4" t="s">
        <v>133</v>
      </c>
      <c r="D91" s="4" t="s">
        <v>37</v>
      </c>
      <c r="E91" s="4" t="s">
        <v>19</v>
      </c>
      <c r="F91" s="4" t="s">
        <v>47</v>
      </c>
      <c r="G91" s="7">
        <v>3</v>
      </c>
      <c r="H91" s="8">
        <v>1450.82</v>
      </c>
      <c r="I91" s="8">
        <f t="shared" si="7"/>
        <v>4352.46</v>
      </c>
      <c r="J91">
        <f t="shared" si="8"/>
        <v>2025</v>
      </c>
      <c r="K91">
        <f t="shared" si="9"/>
        <v>5</v>
      </c>
      <c r="L91">
        <f t="shared" si="10"/>
        <v>4</v>
      </c>
      <c r="M91">
        <f t="shared" si="11"/>
        <v>1</v>
      </c>
      <c r="N91" s="10">
        <f t="shared" si="12"/>
        <v>1740.9840000000002</v>
      </c>
      <c r="O91" s="10">
        <f t="shared" si="13"/>
        <v>435.24600000000004</v>
      </c>
    </row>
    <row r="92" spans="1:15" ht="15.75" customHeight="1" x14ac:dyDescent="0.25">
      <c r="A92" s="2">
        <v>45669</v>
      </c>
      <c r="B92" s="3">
        <v>4728</v>
      </c>
      <c r="C92" s="4" t="s">
        <v>134</v>
      </c>
      <c r="D92" s="4" t="s">
        <v>8</v>
      </c>
      <c r="E92" s="4" t="s">
        <v>52</v>
      </c>
      <c r="F92" s="4" t="s">
        <v>53</v>
      </c>
      <c r="G92" s="7">
        <v>5</v>
      </c>
      <c r="H92" s="8">
        <v>1835.12</v>
      </c>
      <c r="I92" s="8">
        <f t="shared" si="7"/>
        <v>9175.5999999999985</v>
      </c>
      <c r="J92">
        <f t="shared" si="8"/>
        <v>2025</v>
      </c>
      <c r="K92">
        <f t="shared" si="9"/>
        <v>1</v>
      </c>
      <c r="L92">
        <f t="shared" si="10"/>
        <v>12</v>
      </c>
      <c r="M92">
        <f t="shared" si="11"/>
        <v>1</v>
      </c>
      <c r="N92" s="10">
        <f t="shared" si="12"/>
        <v>3670.24</v>
      </c>
      <c r="O92" s="10">
        <f t="shared" si="13"/>
        <v>917.56</v>
      </c>
    </row>
    <row r="93" spans="1:15" ht="15.75" customHeight="1" x14ac:dyDescent="0.25">
      <c r="A93" s="2">
        <v>45746</v>
      </c>
      <c r="B93" s="3">
        <v>4288</v>
      </c>
      <c r="C93" s="4" t="s">
        <v>135</v>
      </c>
      <c r="D93" s="4" t="s">
        <v>8</v>
      </c>
      <c r="E93" s="4" t="s">
        <v>19</v>
      </c>
      <c r="F93" s="4" t="s">
        <v>20</v>
      </c>
      <c r="G93" s="7">
        <v>4</v>
      </c>
      <c r="H93" s="8">
        <v>418.23</v>
      </c>
      <c r="I93" s="8">
        <f t="shared" si="7"/>
        <v>1672.92</v>
      </c>
      <c r="J93">
        <f t="shared" si="8"/>
        <v>2025</v>
      </c>
      <c r="K93">
        <f t="shared" si="9"/>
        <v>3</v>
      </c>
      <c r="L93">
        <f t="shared" si="10"/>
        <v>30</v>
      </c>
      <c r="M93">
        <f t="shared" si="11"/>
        <v>1</v>
      </c>
      <c r="N93" s="10">
        <f t="shared" si="12"/>
        <v>669.16800000000012</v>
      </c>
      <c r="O93" s="10">
        <f t="shared" si="13"/>
        <v>167.29200000000003</v>
      </c>
    </row>
    <row r="94" spans="1:15" ht="15.75" customHeight="1" x14ac:dyDescent="0.25">
      <c r="A94" s="2">
        <v>45804</v>
      </c>
      <c r="B94" s="3">
        <v>8035</v>
      </c>
      <c r="C94" s="4" t="s">
        <v>136</v>
      </c>
      <c r="D94" s="4" t="s">
        <v>63</v>
      </c>
      <c r="E94" s="4" t="s">
        <v>9</v>
      </c>
      <c r="F94" s="4" t="s">
        <v>102</v>
      </c>
      <c r="G94" s="7">
        <v>2</v>
      </c>
      <c r="H94" s="8">
        <v>40.590000000000003</v>
      </c>
      <c r="I94" s="8">
        <f t="shared" si="7"/>
        <v>81.180000000000007</v>
      </c>
      <c r="J94">
        <f t="shared" si="8"/>
        <v>2025</v>
      </c>
      <c r="K94">
        <f t="shared" si="9"/>
        <v>5</v>
      </c>
      <c r="L94">
        <f t="shared" si="10"/>
        <v>27</v>
      </c>
      <c r="M94">
        <f t="shared" si="11"/>
        <v>3</v>
      </c>
      <c r="N94" s="10">
        <f t="shared" si="12"/>
        <v>32.472000000000001</v>
      </c>
      <c r="O94" s="10">
        <f t="shared" si="13"/>
        <v>8.1180000000000003</v>
      </c>
    </row>
    <row r="95" spans="1:15" ht="15.75" customHeight="1" x14ac:dyDescent="0.25">
      <c r="A95" s="2">
        <v>45815</v>
      </c>
      <c r="B95" s="3">
        <v>9915</v>
      </c>
      <c r="C95" s="4" t="s">
        <v>137</v>
      </c>
      <c r="D95" s="4" t="s">
        <v>12</v>
      </c>
      <c r="E95" s="4" t="s">
        <v>52</v>
      </c>
      <c r="F95" s="4" t="s">
        <v>66</v>
      </c>
      <c r="G95" s="7">
        <v>2</v>
      </c>
      <c r="H95" s="8">
        <v>370.94</v>
      </c>
      <c r="I95" s="8">
        <f t="shared" si="7"/>
        <v>741.88</v>
      </c>
      <c r="J95">
        <f t="shared" si="8"/>
        <v>2025</v>
      </c>
      <c r="K95">
        <f t="shared" si="9"/>
        <v>6</v>
      </c>
      <c r="L95">
        <f t="shared" si="10"/>
        <v>7</v>
      </c>
      <c r="M95">
        <f t="shared" si="11"/>
        <v>7</v>
      </c>
      <c r="N95" s="10">
        <f t="shared" si="12"/>
        <v>296.75200000000001</v>
      </c>
      <c r="O95" s="10">
        <f t="shared" si="13"/>
        <v>74.188000000000002</v>
      </c>
    </row>
    <row r="96" spans="1:15" ht="15.75" customHeight="1" x14ac:dyDescent="0.25">
      <c r="A96" s="2">
        <v>45805</v>
      </c>
      <c r="B96" s="3">
        <v>2378</v>
      </c>
      <c r="C96" s="4" t="s">
        <v>138</v>
      </c>
      <c r="D96" s="4" t="s">
        <v>37</v>
      </c>
      <c r="E96" s="4" t="s">
        <v>9</v>
      </c>
      <c r="F96" s="4" t="s">
        <v>25</v>
      </c>
      <c r="G96" s="7">
        <v>6</v>
      </c>
      <c r="H96" s="8">
        <v>126.5</v>
      </c>
      <c r="I96" s="8">
        <f t="shared" si="7"/>
        <v>759</v>
      </c>
      <c r="J96">
        <f t="shared" si="8"/>
        <v>2025</v>
      </c>
      <c r="K96">
        <f t="shared" si="9"/>
        <v>5</v>
      </c>
      <c r="L96">
        <f t="shared" si="10"/>
        <v>28</v>
      </c>
      <c r="M96">
        <f t="shared" si="11"/>
        <v>4</v>
      </c>
      <c r="N96" s="10">
        <f t="shared" si="12"/>
        <v>303.60000000000002</v>
      </c>
      <c r="O96" s="10">
        <f t="shared" si="13"/>
        <v>75.900000000000006</v>
      </c>
    </row>
    <row r="97" spans="1:15" ht="15.75" customHeight="1" x14ac:dyDescent="0.25">
      <c r="A97" s="2">
        <v>45804</v>
      </c>
      <c r="B97" s="3">
        <v>2903</v>
      </c>
      <c r="C97" s="4" t="s">
        <v>139</v>
      </c>
      <c r="D97" s="4" t="s">
        <v>37</v>
      </c>
      <c r="E97" s="4" t="s">
        <v>13</v>
      </c>
      <c r="F97" s="4" t="s">
        <v>64</v>
      </c>
      <c r="G97" s="7">
        <v>9</v>
      </c>
      <c r="H97" s="8">
        <v>1955.2</v>
      </c>
      <c r="I97" s="8">
        <f t="shared" si="7"/>
        <v>17596.8</v>
      </c>
      <c r="J97">
        <f t="shared" si="8"/>
        <v>2025</v>
      </c>
      <c r="K97">
        <f t="shared" si="9"/>
        <v>5</v>
      </c>
      <c r="L97">
        <f t="shared" si="10"/>
        <v>27</v>
      </c>
      <c r="M97">
        <f t="shared" si="11"/>
        <v>3</v>
      </c>
      <c r="N97" s="10">
        <f t="shared" si="12"/>
        <v>7038.72</v>
      </c>
      <c r="O97" s="10">
        <f t="shared" si="13"/>
        <v>1759.68</v>
      </c>
    </row>
    <row r="98" spans="1:15" ht="15.75" customHeight="1" x14ac:dyDescent="0.25">
      <c r="A98" s="2">
        <v>45674</v>
      </c>
      <c r="B98" s="3">
        <v>7620</v>
      </c>
      <c r="C98" s="4" t="s">
        <v>140</v>
      </c>
      <c r="D98" s="4" t="s">
        <v>22</v>
      </c>
      <c r="E98" s="4" t="s">
        <v>19</v>
      </c>
      <c r="F98" s="4" t="s">
        <v>20</v>
      </c>
      <c r="G98" s="7">
        <v>1</v>
      </c>
      <c r="H98" s="8">
        <v>601.34</v>
      </c>
      <c r="I98" s="8">
        <f t="shared" si="7"/>
        <v>601.34</v>
      </c>
      <c r="J98">
        <f t="shared" si="8"/>
        <v>2025</v>
      </c>
      <c r="K98">
        <f t="shared" si="9"/>
        <v>1</v>
      </c>
      <c r="L98">
        <f t="shared" si="10"/>
        <v>17</v>
      </c>
      <c r="M98">
        <f t="shared" si="11"/>
        <v>6</v>
      </c>
      <c r="N98" s="10">
        <f t="shared" si="12"/>
        <v>240.53600000000003</v>
      </c>
      <c r="O98" s="10">
        <f t="shared" si="13"/>
        <v>60.134000000000007</v>
      </c>
    </row>
    <row r="99" spans="1:15" ht="15.75" customHeight="1" x14ac:dyDescent="0.25">
      <c r="A99" s="2">
        <v>45648</v>
      </c>
      <c r="B99" s="3">
        <v>7232</v>
      </c>
      <c r="C99" s="4" t="s">
        <v>141</v>
      </c>
      <c r="D99" s="4" t="s">
        <v>63</v>
      </c>
      <c r="E99" s="4" t="s">
        <v>9</v>
      </c>
      <c r="F99" s="4" t="s">
        <v>102</v>
      </c>
      <c r="G99" s="7">
        <v>1</v>
      </c>
      <c r="H99" s="8">
        <v>840.27</v>
      </c>
      <c r="I99" s="8">
        <f t="shared" si="7"/>
        <v>840.27</v>
      </c>
      <c r="J99">
        <f t="shared" si="8"/>
        <v>2024</v>
      </c>
      <c r="K99">
        <f t="shared" si="9"/>
        <v>12</v>
      </c>
      <c r="L99">
        <f t="shared" si="10"/>
        <v>22</v>
      </c>
      <c r="M99">
        <f t="shared" si="11"/>
        <v>1</v>
      </c>
      <c r="N99" s="10">
        <f t="shared" si="12"/>
        <v>336.108</v>
      </c>
      <c r="O99" s="10">
        <f t="shared" si="13"/>
        <v>84.027000000000001</v>
      </c>
    </row>
    <row r="100" spans="1:15" ht="15.75" customHeight="1" x14ac:dyDescent="0.25">
      <c r="A100" s="2">
        <v>45703</v>
      </c>
      <c r="B100" s="3">
        <v>9149</v>
      </c>
      <c r="C100" s="4" t="s">
        <v>142</v>
      </c>
      <c r="D100" s="4" t="s">
        <v>37</v>
      </c>
      <c r="E100" s="4" t="s">
        <v>40</v>
      </c>
      <c r="F100" s="4" t="s">
        <v>70</v>
      </c>
      <c r="G100" s="7">
        <v>7</v>
      </c>
      <c r="H100" s="8">
        <v>2458.52</v>
      </c>
      <c r="I100" s="8">
        <f t="shared" si="7"/>
        <v>17209.64</v>
      </c>
      <c r="J100">
        <f t="shared" si="8"/>
        <v>2025</v>
      </c>
      <c r="K100">
        <f t="shared" si="9"/>
        <v>2</v>
      </c>
      <c r="L100">
        <f t="shared" si="10"/>
        <v>15</v>
      </c>
      <c r="M100">
        <f t="shared" si="11"/>
        <v>7</v>
      </c>
      <c r="N100" s="10">
        <f t="shared" si="12"/>
        <v>6883.8559999999998</v>
      </c>
      <c r="O100" s="10">
        <f t="shared" si="13"/>
        <v>1720.9639999999999</v>
      </c>
    </row>
    <row r="101" spans="1:15" ht="15.75" customHeight="1" x14ac:dyDescent="0.25">
      <c r="A101" s="2">
        <v>45641</v>
      </c>
      <c r="B101" s="3">
        <v>8798</v>
      </c>
      <c r="C101" s="4" t="s">
        <v>143</v>
      </c>
      <c r="D101" s="4" t="s">
        <v>27</v>
      </c>
      <c r="E101" s="4" t="s">
        <v>13</v>
      </c>
      <c r="F101" s="4" t="s">
        <v>64</v>
      </c>
      <c r="G101" s="7">
        <v>6</v>
      </c>
      <c r="H101" s="8">
        <v>1141.24</v>
      </c>
      <c r="I101" s="8">
        <f t="shared" si="7"/>
        <v>6847.4400000000005</v>
      </c>
      <c r="J101">
        <f t="shared" si="8"/>
        <v>2024</v>
      </c>
      <c r="K101">
        <f t="shared" si="9"/>
        <v>12</v>
      </c>
      <c r="L101">
        <f t="shared" si="10"/>
        <v>15</v>
      </c>
      <c r="M101">
        <f t="shared" si="11"/>
        <v>1</v>
      </c>
      <c r="N101" s="10">
        <f t="shared" si="12"/>
        <v>2738.9760000000006</v>
      </c>
      <c r="O101" s="10">
        <f t="shared" si="13"/>
        <v>684.74400000000014</v>
      </c>
    </row>
    <row r="102" spans="1:15" ht="15.75" customHeight="1" x14ac:dyDescent="0.25">
      <c r="A102" s="2">
        <v>45783</v>
      </c>
      <c r="B102" s="3">
        <v>4708</v>
      </c>
      <c r="C102" s="4" t="s">
        <v>144</v>
      </c>
      <c r="D102" s="4" t="s">
        <v>22</v>
      </c>
      <c r="E102" s="4" t="s">
        <v>40</v>
      </c>
      <c r="F102" s="4" t="s">
        <v>70</v>
      </c>
      <c r="G102" s="7">
        <v>3</v>
      </c>
      <c r="H102" s="8">
        <v>2759.63</v>
      </c>
      <c r="I102" s="8">
        <f t="shared" si="7"/>
        <v>8278.89</v>
      </c>
      <c r="J102">
        <f t="shared" si="8"/>
        <v>2025</v>
      </c>
      <c r="K102">
        <f t="shared" si="9"/>
        <v>5</v>
      </c>
      <c r="L102">
        <f t="shared" si="10"/>
        <v>6</v>
      </c>
      <c r="M102">
        <f t="shared" si="11"/>
        <v>3</v>
      </c>
      <c r="N102" s="10">
        <f t="shared" si="12"/>
        <v>3311.556</v>
      </c>
      <c r="O102" s="10">
        <f t="shared" si="13"/>
        <v>827.88900000000001</v>
      </c>
    </row>
    <row r="103" spans="1:15" ht="15.75" customHeight="1" x14ac:dyDescent="0.25">
      <c r="A103" s="2">
        <v>45648</v>
      </c>
      <c r="B103" s="3">
        <v>1138</v>
      </c>
      <c r="C103" s="4" t="s">
        <v>145</v>
      </c>
      <c r="D103" s="4" t="s">
        <v>37</v>
      </c>
      <c r="E103" s="4" t="s">
        <v>13</v>
      </c>
      <c r="F103" s="4" t="s">
        <v>64</v>
      </c>
      <c r="G103" s="7">
        <v>10</v>
      </c>
      <c r="H103" s="8">
        <v>1101.76</v>
      </c>
      <c r="I103" s="8">
        <f t="shared" si="7"/>
        <v>11017.6</v>
      </c>
      <c r="J103">
        <f t="shared" si="8"/>
        <v>2024</v>
      </c>
      <c r="K103">
        <f t="shared" si="9"/>
        <v>12</v>
      </c>
      <c r="L103">
        <f t="shared" si="10"/>
        <v>22</v>
      </c>
      <c r="M103">
        <f t="shared" si="11"/>
        <v>1</v>
      </c>
      <c r="N103" s="10">
        <f t="shared" si="12"/>
        <v>4407.04</v>
      </c>
      <c r="O103" s="10">
        <f t="shared" si="13"/>
        <v>1101.76</v>
      </c>
    </row>
    <row r="104" spans="1:15" ht="15.75" customHeight="1" x14ac:dyDescent="0.25">
      <c r="A104" s="2">
        <v>45725</v>
      </c>
      <c r="B104" s="3">
        <v>1498</v>
      </c>
      <c r="C104" s="4" t="s">
        <v>146</v>
      </c>
      <c r="D104" s="4" t="s">
        <v>22</v>
      </c>
      <c r="E104" s="4" t="s">
        <v>13</v>
      </c>
      <c r="F104" s="4" t="s">
        <v>56</v>
      </c>
      <c r="G104" s="7">
        <v>3</v>
      </c>
      <c r="H104" s="8">
        <v>1257.06</v>
      </c>
      <c r="I104" s="8">
        <f t="shared" si="7"/>
        <v>3771.18</v>
      </c>
      <c r="J104">
        <f t="shared" si="8"/>
        <v>2025</v>
      </c>
      <c r="K104">
        <f t="shared" si="9"/>
        <v>3</v>
      </c>
      <c r="L104">
        <f t="shared" si="10"/>
        <v>9</v>
      </c>
      <c r="M104">
        <f t="shared" si="11"/>
        <v>1</v>
      </c>
      <c r="N104" s="10">
        <f t="shared" si="12"/>
        <v>1508.472</v>
      </c>
      <c r="O104" s="10">
        <f t="shared" si="13"/>
        <v>377.11799999999999</v>
      </c>
    </row>
    <row r="105" spans="1:15" ht="15.75" customHeight="1" x14ac:dyDescent="0.25">
      <c r="A105" s="2">
        <v>45693</v>
      </c>
      <c r="B105" s="3">
        <v>5553</v>
      </c>
      <c r="C105" s="4" t="s">
        <v>147</v>
      </c>
      <c r="D105" s="4" t="s">
        <v>37</v>
      </c>
      <c r="E105" s="4" t="s">
        <v>19</v>
      </c>
      <c r="F105" s="4" t="s">
        <v>23</v>
      </c>
      <c r="G105" s="7">
        <v>7</v>
      </c>
      <c r="H105" s="8">
        <v>1653.32</v>
      </c>
      <c r="I105" s="8">
        <f t="shared" si="7"/>
        <v>11573.24</v>
      </c>
      <c r="J105">
        <f t="shared" si="8"/>
        <v>2025</v>
      </c>
      <c r="K105">
        <f t="shared" si="9"/>
        <v>2</v>
      </c>
      <c r="L105">
        <f t="shared" si="10"/>
        <v>5</v>
      </c>
      <c r="M105">
        <f t="shared" si="11"/>
        <v>4</v>
      </c>
      <c r="N105" s="10">
        <f t="shared" si="12"/>
        <v>4629.2960000000003</v>
      </c>
      <c r="O105" s="10">
        <f t="shared" si="13"/>
        <v>1157.3240000000001</v>
      </c>
    </row>
    <row r="106" spans="1:15" ht="15.75" customHeight="1" x14ac:dyDescent="0.25">
      <c r="A106" s="2">
        <v>45661</v>
      </c>
      <c r="B106" s="3">
        <v>9583</v>
      </c>
      <c r="C106" s="4" t="s">
        <v>148</v>
      </c>
      <c r="D106" s="4" t="s">
        <v>22</v>
      </c>
      <c r="E106" s="4" t="s">
        <v>9</v>
      </c>
      <c r="F106" s="4" t="s">
        <v>28</v>
      </c>
      <c r="G106" s="7">
        <v>10</v>
      </c>
      <c r="H106" s="8">
        <v>1492.2</v>
      </c>
      <c r="I106" s="8">
        <f t="shared" si="7"/>
        <v>14922</v>
      </c>
      <c r="J106">
        <f t="shared" si="8"/>
        <v>2025</v>
      </c>
      <c r="K106">
        <f t="shared" si="9"/>
        <v>1</v>
      </c>
      <c r="L106">
        <f t="shared" si="10"/>
        <v>4</v>
      </c>
      <c r="M106">
        <f t="shared" si="11"/>
        <v>7</v>
      </c>
      <c r="N106" s="10">
        <f t="shared" si="12"/>
        <v>5968.8</v>
      </c>
      <c r="O106" s="10">
        <f t="shared" si="13"/>
        <v>1492.2</v>
      </c>
    </row>
    <row r="107" spans="1:15" ht="15.75" customHeight="1" x14ac:dyDescent="0.25">
      <c r="A107" s="2">
        <v>45710</v>
      </c>
      <c r="B107" s="3">
        <v>7054</v>
      </c>
      <c r="C107" s="4" t="s">
        <v>149</v>
      </c>
      <c r="D107" s="4" t="s">
        <v>27</v>
      </c>
      <c r="E107" s="4" t="s">
        <v>52</v>
      </c>
      <c r="F107" s="4" t="s">
        <v>97</v>
      </c>
      <c r="G107" s="7">
        <v>7</v>
      </c>
      <c r="H107" s="8">
        <v>1826.29</v>
      </c>
      <c r="I107" s="8">
        <f t="shared" si="7"/>
        <v>12784.029999999999</v>
      </c>
      <c r="J107">
        <f t="shared" si="8"/>
        <v>2025</v>
      </c>
      <c r="K107">
        <f t="shared" si="9"/>
        <v>2</v>
      </c>
      <c r="L107">
        <f t="shared" si="10"/>
        <v>22</v>
      </c>
      <c r="M107">
        <f t="shared" si="11"/>
        <v>7</v>
      </c>
      <c r="N107" s="10">
        <f t="shared" si="12"/>
        <v>5113.6120000000001</v>
      </c>
      <c r="O107" s="10">
        <f t="shared" si="13"/>
        <v>1278.403</v>
      </c>
    </row>
    <row r="108" spans="1:15" ht="15.75" customHeight="1" x14ac:dyDescent="0.25">
      <c r="A108" s="2">
        <v>45750</v>
      </c>
      <c r="B108" s="3">
        <v>2731</v>
      </c>
      <c r="C108" s="4" t="s">
        <v>150</v>
      </c>
      <c r="D108" s="4" t="s">
        <v>16</v>
      </c>
      <c r="E108" s="4" t="s">
        <v>19</v>
      </c>
      <c r="F108" s="4" t="s">
        <v>20</v>
      </c>
      <c r="G108" s="7">
        <v>8</v>
      </c>
      <c r="H108" s="8">
        <v>1717.45</v>
      </c>
      <c r="I108" s="8">
        <f t="shared" si="7"/>
        <v>13739.6</v>
      </c>
      <c r="J108">
        <f t="shared" si="8"/>
        <v>2025</v>
      </c>
      <c r="K108">
        <f t="shared" si="9"/>
        <v>4</v>
      </c>
      <c r="L108">
        <f t="shared" si="10"/>
        <v>3</v>
      </c>
      <c r="M108">
        <f t="shared" si="11"/>
        <v>5</v>
      </c>
      <c r="N108" s="10">
        <f t="shared" si="12"/>
        <v>5495.84</v>
      </c>
      <c r="O108" s="10">
        <f t="shared" si="13"/>
        <v>1373.96</v>
      </c>
    </row>
    <row r="109" spans="1:15" ht="15.75" customHeight="1" x14ac:dyDescent="0.25">
      <c r="A109" s="2">
        <v>45641</v>
      </c>
      <c r="B109" s="3">
        <v>3868</v>
      </c>
      <c r="C109" s="4" t="s">
        <v>151</v>
      </c>
      <c r="D109" s="4" t="s">
        <v>63</v>
      </c>
      <c r="E109" s="4" t="s">
        <v>13</v>
      </c>
      <c r="F109" s="4" t="s">
        <v>14</v>
      </c>
      <c r="G109" s="7">
        <v>4</v>
      </c>
      <c r="H109" s="8">
        <v>1069.52</v>
      </c>
      <c r="I109" s="8">
        <f t="shared" si="7"/>
        <v>4278.08</v>
      </c>
      <c r="J109">
        <f t="shared" si="8"/>
        <v>2024</v>
      </c>
      <c r="K109">
        <f t="shared" si="9"/>
        <v>12</v>
      </c>
      <c r="L109">
        <f t="shared" si="10"/>
        <v>15</v>
      </c>
      <c r="M109">
        <f t="shared" si="11"/>
        <v>1</v>
      </c>
      <c r="N109" s="10">
        <f t="shared" si="12"/>
        <v>1711.232</v>
      </c>
      <c r="O109" s="10">
        <f t="shared" si="13"/>
        <v>427.80799999999999</v>
      </c>
    </row>
    <row r="110" spans="1:15" ht="15.75" customHeight="1" x14ac:dyDescent="0.25">
      <c r="A110" s="2">
        <v>45714</v>
      </c>
      <c r="B110" s="3">
        <v>1273</v>
      </c>
      <c r="C110" s="4" t="s">
        <v>152</v>
      </c>
      <c r="D110" s="4" t="s">
        <v>8</v>
      </c>
      <c r="E110" s="4" t="s">
        <v>40</v>
      </c>
      <c r="F110" s="4" t="s">
        <v>45</v>
      </c>
      <c r="G110" s="7">
        <v>7</v>
      </c>
      <c r="H110" s="8">
        <v>384.15</v>
      </c>
      <c r="I110" s="8">
        <f t="shared" si="7"/>
        <v>2689.0499999999997</v>
      </c>
      <c r="J110">
        <f t="shared" si="8"/>
        <v>2025</v>
      </c>
      <c r="K110">
        <f t="shared" si="9"/>
        <v>2</v>
      </c>
      <c r="L110">
        <f t="shared" si="10"/>
        <v>26</v>
      </c>
      <c r="M110">
        <f t="shared" si="11"/>
        <v>4</v>
      </c>
      <c r="N110" s="10">
        <f t="shared" si="12"/>
        <v>1075.6199999999999</v>
      </c>
      <c r="O110" s="10">
        <f t="shared" si="13"/>
        <v>268.90499999999997</v>
      </c>
    </row>
    <row r="111" spans="1:15" ht="15.75" customHeight="1" x14ac:dyDescent="0.25">
      <c r="A111" s="2">
        <v>45650</v>
      </c>
      <c r="B111" s="3">
        <v>3384</v>
      </c>
      <c r="C111" s="4" t="s">
        <v>153</v>
      </c>
      <c r="D111" s="4" t="s">
        <v>8</v>
      </c>
      <c r="E111" s="4" t="s">
        <v>40</v>
      </c>
      <c r="F111" s="4" t="s">
        <v>61</v>
      </c>
      <c r="G111" s="7">
        <v>5</v>
      </c>
      <c r="H111" s="8">
        <v>1132.81</v>
      </c>
      <c r="I111" s="8">
        <f t="shared" si="7"/>
        <v>5664.0499999999993</v>
      </c>
      <c r="J111">
        <f t="shared" si="8"/>
        <v>2024</v>
      </c>
      <c r="K111">
        <f t="shared" si="9"/>
        <v>12</v>
      </c>
      <c r="L111">
        <f t="shared" si="10"/>
        <v>24</v>
      </c>
      <c r="M111">
        <f t="shared" si="11"/>
        <v>3</v>
      </c>
      <c r="N111" s="10">
        <f t="shared" si="12"/>
        <v>2265.62</v>
      </c>
      <c r="O111" s="10">
        <f t="shared" si="13"/>
        <v>566.40499999999997</v>
      </c>
    </row>
    <row r="112" spans="1:15" ht="15.75" customHeight="1" x14ac:dyDescent="0.25">
      <c r="A112" s="2">
        <v>45733</v>
      </c>
      <c r="B112" s="3">
        <v>3608</v>
      </c>
      <c r="C112" s="4" t="s">
        <v>154</v>
      </c>
      <c r="D112" s="4" t="s">
        <v>63</v>
      </c>
      <c r="E112" s="4" t="s">
        <v>40</v>
      </c>
      <c r="F112" s="4" t="s">
        <v>85</v>
      </c>
      <c r="G112" s="7">
        <v>2</v>
      </c>
      <c r="H112" s="8">
        <v>2607.2399999999998</v>
      </c>
      <c r="I112" s="8">
        <f t="shared" si="7"/>
        <v>5214.4799999999996</v>
      </c>
      <c r="J112">
        <f t="shared" si="8"/>
        <v>2025</v>
      </c>
      <c r="K112">
        <f t="shared" si="9"/>
        <v>3</v>
      </c>
      <c r="L112">
        <f t="shared" si="10"/>
        <v>17</v>
      </c>
      <c r="M112">
        <f t="shared" si="11"/>
        <v>2</v>
      </c>
      <c r="N112" s="10">
        <f t="shared" si="12"/>
        <v>2085.7919999999999</v>
      </c>
      <c r="O112" s="10">
        <f t="shared" si="13"/>
        <v>521.44799999999998</v>
      </c>
    </row>
    <row r="113" spans="1:15" ht="15.75" customHeight="1" x14ac:dyDescent="0.25">
      <c r="A113" s="2">
        <v>45746</v>
      </c>
      <c r="B113" s="3">
        <v>2612</v>
      </c>
      <c r="C113" s="4" t="s">
        <v>155</v>
      </c>
      <c r="D113" s="4" t="s">
        <v>8</v>
      </c>
      <c r="E113" s="4" t="s">
        <v>40</v>
      </c>
      <c r="F113" s="4" t="s">
        <v>61</v>
      </c>
      <c r="G113" s="7">
        <v>4</v>
      </c>
      <c r="H113" s="8">
        <v>1886.77</v>
      </c>
      <c r="I113" s="8">
        <f t="shared" si="7"/>
        <v>7547.08</v>
      </c>
      <c r="J113">
        <f t="shared" si="8"/>
        <v>2025</v>
      </c>
      <c r="K113">
        <f t="shared" si="9"/>
        <v>3</v>
      </c>
      <c r="L113">
        <f t="shared" si="10"/>
        <v>30</v>
      </c>
      <c r="M113">
        <f t="shared" si="11"/>
        <v>1</v>
      </c>
      <c r="N113" s="10">
        <f t="shared" si="12"/>
        <v>3018.8320000000003</v>
      </c>
      <c r="O113" s="10">
        <f t="shared" si="13"/>
        <v>754.70800000000008</v>
      </c>
    </row>
    <row r="114" spans="1:15" ht="15.75" customHeight="1" x14ac:dyDescent="0.25">
      <c r="A114" s="2">
        <v>45685</v>
      </c>
      <c r="B114" s="3">
        <v>2229</v>
      </c>
      <c r="C114" s="4" t="s">
        <v>156</v>
      </c>
      <c r="D114" s="4" t="s">
        <v>16</v>
      </c>
      <c r="E114" s="4" t="s">
        <v>52</v>
      </c>
      <c r="F114" s="4" t="s">
        <v>97</v>
      </c>
      <c r="G114" s="7">
        <v>6</v>
      </c>
      <c r="H114" s="8">
        <v>2273.92</v>
      </c>
      <c r="I114" s="8">
        <f t="shared" si="7"/>
        <v>13643.52</v>
      </c>
      <c r="J114">
        <f t="shared" si="8"/>
        <v>2025</v>
      </c>
      <c r="K114">
        <f t="shared" si="9"/>
        <v>1</v>
      </c>
      <c r="L114">
        <f t="shared" si="10"/>
        <v>28</v>
      </c>
      <c r="M114">
        <f t="shared" si="11"/>
        <v>3</v>
      </c>
      <c r="N114" s="10">
        <f t="shared" si="12"/>
        <v>5457.4080000000004</v>
      </c>
      <c r="O114" s="10">
        <f t="shared" si="13"/>
        <v>1364.3520000000001</v>
      </c>
    </row>
    <row r="115" spans="1:15" ht="15.75" customHeight="1" x14ac:dyDescent="0.25">
      <c r="A115" s="2">
        <v>45680</v>
      </c>
      <c r="B115" s="3">
        <v>8924</v>
      </c>
      <c r="C115" s="4" t="s">
        <v>157</v>
      </c>
      <c r="D115" s="4" t="s">
        <v>27</v>
      </c>
      <c r="E115" s="4" t="s">
        <v>52</v>
      </c>
      <c r="F115" s="4" t="s">
        <v>97</v>
      </c>
      <c r="G115" s="7">
        <v>9</v>
      </c>
      <c r="H115" s="8">
        <v>1570.37</v>
      </c>
      <c r="I115" s="8">
        <f t="shared" si="7"/>
        <v>14133.329999999998</v>
      </c>
      <c r="J115">
        <f t="shared" si="8"/>
        <v>2025</v>
      </c>
      <c r="K115">
        <f t="shared" si="9"/>
        <v>1</v>
      </c>
      <c r="L115">
        <f t="shared" si="10"/>
        <v>23</v>
      </c>
      <c r="M115">
        <f t="shared" si="11"/>
        <v>5</v>
      </c>
      <c r="N115" s="10">
        <f t="shared" si="12"/>
        <v>5653.3319999999994</v>
      </c>
      <c r="O115" s="10">
        <f t="shared" si="13"/>
        <v>1413.3329999999999</v>
      </c>
    </row>
    <row r="116" spans="1:15" ht="15.75" customHeight="1" x14ac:dyDescent="0.25">
      <c r="A116" s="2">
        <v>45753</v>
      </c>
      <c r="B116" s="3">
        <v>7345</v>
      </c>
      <c r="C116" s="4" t="s">
        <v>158</v>
      </c>
      <c r="D116" s="4" t="s">
        <v>37</v>
      </c>
      <c r="E116" s="4" t="s">
        <v>19</v>
      </c>
      <c r="F116" s="4" t="s">
        <v>23</v>
      </c>
      <c r="G116" s="7">
        <v>2</v>
      </c>
      <c r="H116" s="8">
        <v>510.08</v>
      </c>
      <c r="I116" s="8">
        <f t="shared" si="7"/>
        <v>1020.16</v>
      </c>
      <c r="J116">
        <f t="shared" si="8"/>
        <v>2025</v>
      </c>
      <c r="K116">
        <f t="shared" si="9"/>
        <v>4</v>
      </c>
      <c r="L116">
        <f t="shared" si="10"/>
        <v>6</v>
      </c>
      <c r="M116">
        <f t="shared" si="11"/>
        <v>1</v>
      </c>
      <c r="N116" s="10">
        <f t="shared" si="12"/>
        <v>408.06400000000002</v>
      </c>
      <c r="O116" s="10">
        <f t="shared" si="13"/>
        <v>102.01600000000001</v>
      </c>
    </row>
    <row r="117" spans="1:15" ht="15.75" customHeight="1" x14ac:dyDescent="0.25">
      <c r="A117" s="2">
        <v>45749</v>
      </c>
      <c r="B117" s="3">
        <v>3138</v>
      </c>
      <c r="C117" s="4" t="s">
        <v>159</v>
      </c>
      <c r="D117" s="4" t="s">
        <v>22</v>
      </c>
      <c r="E117" s="4" t="s">
        <v>13</v>
      </c>
      <c r="F117" s="4" t="s">
        <v>64</v>
      </c>
      <c r="G117" s="7">
        <v>5</v>
      </c>
      <c r="H117" s="8">
        <v>2043.33</v>
      </c>
      <c r="I117" s="8">
        <f t="shared" si="7"/>
        <v>10216.65</v>
      </c>
      <c r="J117">
        <f t="shared" si="8"/>
        <v>2025</v>
      </c>
      <c r="K117">
        <f t="shared" si="9"/>
        <v>4</v>
      </c>
      <c r="L117">
        <f t="shared" si="10"/>
        <v>2</v>
      </c>
      <c r="M117">
        <f t="shared" si="11"/>
        <v>4</v>
      </c>
      <c r="N117" s="10">
        <f t="shared" si="12"/>
        <v>4086.66</v>
      </c>
      <c r="O117" s="10">
        <f t="shared" si="13"/>
        <v>1021.665</v>
      </c>
    </row>
    <row r="118" spans="1:15" ht="15.75" customHeight="1" x14ac:dyDescent="0.25">
      <c r="A118" s="2">
        <v>45683</v>
      </c>
      <c r="B118" s="3">
        <v>2132</v>
      </c>
      <c r="C118" s="4" t="s">
        <v>160</v>
      </c>
      <c r="D118" s="4" t="s">
        <v>63</v>
      </c>
      <c r="E118" s="4" t="s">
        <v>52</v>
      </c>
      <c r="F118" s="4" t="s">
        <v>82</v>
      </c>
      <c r="G118" s="7">
        <v>6</v>
      </c>
      <c r="H118" s="8">
        <v>2597.6</v>
      </c>
      <c r="I118" s="8">
        <f t="shared" si="7"/>
        <v>15585.599999999999</v>
      </c>
      <c r="J118">
        <f t="shared" si="8"/>
        <v>2025</v>
      </c>
      <c r="K118">
        <f t="shared" si="9"/>
        <v>1</v>
      </c>
      <c r="L118">
        <f t="shared" si="10"/>
        <v>26</v>
      </c>
      <c r="M118">
        <f t="shared" si="11"/>
        <v>1</v>
      </c>
      <c r="N118" s="10">
        <f t="shared" si="12"/>
        <v>6234.24</v>
      </c>
      <c r="O118" s="10">
        <f t="shared" si="13"/>
        <v>1558.56</v>
      </c>
    </row>
    <row r="119" spans="1:15" ht="15.75" customHeight="1" x14ac:dyDescent="0.25">
      <c r="A119" s="2">
        <v>45718</v>
      </c>
      <c r="B119" s="3">
        <v>9202</v>
      </c>
      <c r="C119" s="4" t="s">
        <v>161</v>
      </c>
      <c r="D119" s="4" t="s">
        <v>27</v>
      </c>
      <c r="E119" s="4" t="s">
        <v>19</v>
      </c>
      <c r="F119" s="4" t="s">
        <v>23</v>
      </c>
      <c r="G119" s="7">
        <v>5</v>
      </c>
      <c r="H119" s="8">
        <v>2533.86</v>
      </c>
      <c r="I119" s="8">
        <f t="shared" si="7"/>
        <v>12669.300000000001</v>
      </c>
      <c r="J119">
        <f t="shared" si="8"/>
        <v>2025</v>
      </c>
      <c r="K119">
        <f t="shared" si="9"/>
        <v>3</v>
      </c>
      <c r="L119">
        <f t="shared" si="10"/>
        <v>2</v>
      </c>
      <c r="M119">
        <f t="shared" si="11"/>
        <v>1</v>
      </c>
      <c r="N119" s="10">
        <f t="shared" si="12"/>
        <v>5067.7200000000012</v>
      </c>
      <c r="O119" s="10">
        <f t="shared" si="13"/>
        <v>1266.9300000000003</v>
      </c>
    </row>
    <row r="120" spans="1:15" ht="15.75" customHeight="1" x14ac:dyDescent="0.25">
      <c r="A120" s="2">
        <v>45760</v>
      </c>
      <c r="B120" s="3">
        <v>7029</v>
      </c>
      <c r="C120" s="4" t="s">
        <v>162</v>
      </c>
      <c r="D120" s="4" t="s">
        <v>8</v>
      </c>
      <c r="E120" s="4" t="s">
        <v>19</v>
      </c>
      <c r="F120" s="4" t="s">
        <v>75</v>
      </c>
      <c r="G120" s="7">
        <v>9</v>
      </c>
      <c r="H120" s="8">
        <v>491.42</v>
      </c>
      <c r="I120" s="8">
        <f t="shared" si="7"/>
        <v>4422.78</v>
      </c>
      <c r="J120">
        <f t="shared" si="8"/>
        <v>2025</v>
      </c>
      <c r="K120">
        <f t="shared" si="9"/>
        <v>4</v>
      </c>
      <c r="L120">
        <f t="shared" si="10"/>
        <v>13</v>
      </c>
      <c r="M120">
        <f t="shared" si="11"/>
        <v>1</v>
      </c>
      <c r="N120" s="10">
        <f t="shared" si="12"/>
        <v>1769.1120000000001</v>
      </c>
      <c r="O120" s="10">
        <f t="shared" si="13"/>
        <v>442.27800000000002</v>
      </c>
    </row>
    <row r="121" spans="1:15" ht="15.75" customHeight="1" x14ac:dyDescent="0.25">
      <c r="A121" s="2">
        <v>45752</v>
      </c>
      <c r="B121" s="3">
        <v>6444</v>
      </c>
      <c r="C121" s="4" t="s">
        <v>163</v>
      </c>
      <c r="D121" s="4" t="s">
        <v>27</v>
      </c>
      <c r="E121" s="4" t="s">
        <v>52</v>
      </c>
      <c r="F121" s="4" t="s">
        <v>53</v>
      </c>
      <c r="G121" s="7">
        <v>4</v>
      </c>
      <c r="H121" s="8">
        <v>2161.2399999999998</v>
      </c>
      <c r="I121" s="8">
        <f t="shared" si="7"/>
        <v>8644.9599999999991</v>
      </c>
      <c r="J121">
        <f t="shared" si="8"/>
        <v>2025</v>
      </c>
      <c r="K121">
        <f t="shared" si="9"/>
        <v>4</v>
      </c>
      <c r="L121">
        <f t="shared" si="10"/>
        <v>5</v>
      </c>
      <c r="M121">
        <f t="shared" si="11"/>
        <v>7</v>
      </c>
      <c r="N121" s="10">
        <f t="shared" si="12"/>
        <v>3457.9839999999999</v>
      </c>
      <c r="O121" s="10">
        <f t="shared" si="13"/>
        <v>864.49599999999998</v>
      </c>
    </row>
    <row r="122" spans="1:15" ht="15.75" customHeight="1" x14ac:dyDescent="0.25">
      <c r="A122" s="2">
        <v>45670</v>
      </c>
      <c r="B122" s="3">
        <v>7530</v>
      </c>
      <c r="C122" s="4" t="s">
        <v>164</v>
      </c>
      <c r="D122" s="4" t="s">
        <v>16</v>
      </c>
      <c r="E122" s="4" t="s">
        <v>9</v>
      </c>
      <c r="F122" s="4" t="s">
        <v>28</v>
      </c>
      <c r="G122" s="7">
        <v>2</v>
      </c>
      <c r="H122" s="8">
        <v>2691.05</v>
      </c>
      <c r="I122" s="8">
        <f t="shared" si="7"/>
        <v>5382.1</v>
      </c>
      <c r="J122">
        <f t="shared" si="8"/>
        <v>2025</v>
      </c>
      <c r="K122">
        <f t="shared" si="9"/>
        <v>1</v>
      </c>
      <c r="L122">
        <f t="shared" si="10"/>
        <v>13</v>
      </c>
      <c r="M122">
        <f t="shared" si="11"/>
        <v>2</v>
      </c>
      <c r="N122" s="10">
        <f t="shared" si="12"/>
        <v>2152.84</v>
      </c>
      <c r="O122" s="10">
        <f t="shared" si="13"/>
        <v>538.21</v>
      </c>
    </row>
    <row r="123" spans="1:15" ht="15.75" customHeight="1" x14ac:dyDescent="0.25">
      <c r="A123" s="2">
        <v>45709</v>
      </c>
      <c r="B123" s="3">
        <v>8128</v>
      </c>
      <c r="C123" s="4" t="s">
        <v>165</v>
      </c>
      <c r="D123" s="4" t="s">
        <v>12</v>
      </c>
      <c r="E123" s="4" t="s">
        <v>40</v>
      </c>
      <c r="F123" s="4" t="s">
        <v>85</v>
      </c>
      <c r="G123" s="7">
        <v>3</v>
      </c>
      <c r="H123" s="8">
        <v>51.35</v>
      </c>
      <c r="I123" s="8">
        <f t="shared" si="7"/>
        <v>154.05000000000001</v>
      </c>
      <c r="J123">
        <f t="shared" si="8"/>
        <v>2025</v>
      </c>
      <c r="K123">
        <f t="shared" si="9"/>
        <v>2</v>
      </c>
      <c r="L123">
        <f t="shared" si="10"/>
        <v>21</v>
      </c>
      <c r="M123">
        <f t="shared" si="11"/>
        <v>6</v>
      </c>
      <c r="N123" s="10">
        <f t="shared" si="12"/>
        <v>61.620000000000005</v>
      </c>
      <c r="O123" s="10">
        <f t="shared" si="13"/>
        <v>15.405000000000001</v>
      </c>
    </row>
    <row r="124" spans="1:15" ht="15.75" customHeight="1" x14ac:dyDescent="0.25">
      <c r="A124" s="2">
        <v>45765</v>
      </c>
      <c r="B124" s="3">
        <v>9002</v>
      </c>
      <c r="C124" s="4" t="s">
        <v>166</v>
      </c>
      <c r="D124" s="4" t="s">
        <v>27</v>
      </c>
      <c r="E124" s="4" t="s">
        <v>9</v>
      </c>
      <c r="F124" s="4" t="s">
        <v>28</v>
      </c>
      <c r="G124" s="7">
        <v>8</v>
      </c>
      <c r="H124" s="8">
        <v>781.16</v>
      </c>
      <c r="I124" s="8">
        <f t="shared" si="7"/>
        <v>6249.28</v>
      </c>
      <c r="J124">
        <f t="shared" si="8"/>
        <v>2025</v>
      </c>
      <c r="K124">
        <f t="shared" si="9"/>
        <v>4</v>
      </c>
      <c r="L124">
        <f t="shared" si="10"/>
        <v>18</v>
      </c>
      <c r="M124">
        <f t="shared" si="11"/>
        <v>6</v>
      </c>
      <c r="N124" s="10">
        <f t="shared" si="12"/>
        <v>2499.712</v>
      </c>
      <c r="O124" s="10">
        <f t="shared" si="13"/>
        <v>624.928</v>
      </c>
    </row>
    <row r="125" spans="1:15" ht="15.75" customHeight="1" x14ac:dyDescent="0.25">
      <c r="A125" s="2">
        <v>45732</v>
      </c>
      <c r="B125" s="3">
        <v>3349</v>
      </c>
      <c r="C125" s="4" t="s">
        <v>167</v>
      </c>
      <c r="D125" s="4" t="s">
        <v>16</v>
      </c>
      <c r="E125" s="4" t="s">
        <v>9</v>
      </c>
      <c r="F125" s="4" t="s">
        <v>10</v>
      </c>
      <c r="G125" s="7">
        <v>8</v>
      </c>
      <c r="H125" s="8">
        <v>529.78</v>
      </c>
      <c r="I125" s="8">
        <f t="shared" si="7"/>
        <v>4238.24</v>
      </c>
      <c r="J125">
        <f t="shared" si="8"/>
        <v>2025</v>
      </c>
      <c r="K125">
        <f t="shared" si="9"/>
        <v>3</v>
      </c>
      <c r="L125">
        <f t="shared" si="10"/>
        <v>16</v>
      </c>
      <c r="M125">
        <f t="shared" si="11"/>
        <v>1</v>
      </c>
      <c r="N125" s="10">
        <f t="shared" si="12"/>
        <v>1695.296</v>
      </c>
      <c r="O125" s="10">
        <f t="shared" si="13"/>
        <v>423.82400000000001</v>
      </c>
    </row>
    <row r="126" spans="1:15" ht="15.75" customHeight="1" x14ac:dyDescent="0.25">
      <c r="A126" s="2">
        <v>45709</v>
      </c>
      <c r="B126" s="3">
        <v>2961</v>
      </c>
      <c r="C126" s="4" t="s">
        <v>168</v>
      </c>
      <c r="D126" s="4" t="s">
        <v>37</v>
      </c>
      <c r="E126" s="4" t="s">
        <v>13</v>
      </c>
      <c r="F126" s="4" t="s">
        <v>14</v>
      </c>
      <c r="G126" s="7">
        <v>10</v>
      </c>
      <c r="H126" s="8">
        <v>1869.88</v>
      </c>
      <c r="I126" s="8">
        <f t="shared" si="7"/>
        <v>18698.800000000003</v>
      </c>
      <c r="J126">
        <f t="shared" si="8"/>
        <v>2025</v>
      </c>
      <c r="K126">
        <f t="shared" si="9"/>
        <v>2</v>
      </c>
      <c r="L126">
        <f t="shared" si="10"/>
        <v>21</v>
      </c>
      <c r="M126">
        <f t="shared" si="11"/>
        <v>6</v>
      </c>
      <c r="N126" s="10">
        <f t="shared" si="12"/>
        <v>7479.5200000000013</v>
      </c>
      <c r="O126" s="10">
        <f t="shared" si="13"/>
        <v>1869.8800000000003</v>
      </c>
    </row>
    <row r="127" spans="1:15" ht="15.75" customHeight="1" x14ac:dyDescent="0.25">
      <c r="A127" s="2">
        <v>45786</v>
      </c>
      <c r="B127" s="3">
        <v>3360</v>
      </c>
      <c r="C127" s="4" t="s">
        <v>169</v>
      </c>
      <c r="D127" s="4" t="s">
        <v>37</v>
      </c>
      <c r="E127" s="4" t="s">
        <v>19</v>
      </c>
      <c r="F127" s="4" t="s">
        <v>20</v>
      </c>
      <c r="G127" s="7">
        <v>4</v>
      </c>
      <c r="H127" s="8">
        <v>2032.29</v>
      </c>
      <c r="I127" s="8">
        <f t="shared" si="7"/>
        <v>8129.16</v>
      </c>
      <c r="J127">
        <f t="shared" si="8"/>
        <v>2025</v>
      </c>
      <c r="K127">
        <f t="shared" si="9"/>
        <v>5</v>
      </c>
      <c r="L127">
        <f t="shared" si="10"/>
        <v>9</v>
      </c>
      <c r="M127">
        <f t="shared" si="11"/>
        <v>6</v>
      </c>
      <c r="N127" s="10">
        <f t="shared" si="12"/>
        <v>3251.6640000000002</v>
      </c>
      <c r="O127" s="10">
        <f t="shared" si="13"/>
        <v>812.91600000000005</v>
      </c>
    </row>
    <row r="128" spans="1:15" ht="15.75" customHeight="1" x14ac:dyDescent="0.25">
      <c r="A128" s="2">
        <v>45782</v>
      </c>
      <c r="B128" s="3">
        <v>4010</v>
      </c>
      <c r="C128" s="4" t="s">
        <v>170</v>
      </c>
      <c r="D128" s="4" t="s">
        <v>12</v>
      </c>
      <c r="E128" s="4" t="s">
        <v>40</v>
      </c>
      <c r="F128" s="4" t="s">
        <v>45</v>
      </c>
      <c r="G128" s="7">
        <v>8</v>
      </c>
      <c r="H128" s="8">
        <v>1872.52</v>
      </c>
      <c r="I128" s="8">
        <f t="shared" si="7"/>
        <v>14980.16</v>
      </c>
      <c r="J128">
        <f t="shared" si="8"/>
        <v>2025</v>
      </c>
      <c r="K128">
        <f t="shared" si="9"/>
        <v>5</v>
      </c>
      <c r="L128">
        <f t="shared" si="10"/>
        <v>5</v>
      </c>
      <c r="M128">
        <f t="shared" si="11"/>
        <v>2</v>
      </c>
      <c r="N128" s="10">
        <f t="shared" si="12"/>
        <v>5992.0640000000003</v>
      </c>
      <c r="O128" s="10">
        <f t="shared" si="13"/>
        <v>1498.0160000000001</v>
      </c>
    </row>
    <row r="129" spans="1:15" ht="15.75" customHeight="1" x14ac:dyDescent="0.25">
      <c r="A129" s="2">
        <v>45645</v>
      </c>
      <c r="B129" s="3">
        <v>5327</v>
      </c>
      <c r="C129" s="4" t="s">
        <v>171</v>
      </c>
      <c r="D129" s="4" t="s">
        <v>27</v>
      </c>
      <c r="E129" s="4" t="s">
        <v>40</v>
      </c>
      <c r="F129" s="4" t="s">
        <v>85</v>
      </c>
      <c r="G129" s="7">
        <v>3</v>
      </c>
      <c r="H129" s="8">
        <v>697.56</v>
      </c>
      <c r="I129" s="8">
        <f t="shared" si="7"/>
        <v>2092.6799999999998</v>
      </c>
      <c r="J129">
        <f t="shared" si="8"/>
        <v>2024</v>
      </c>
      <c r="K129">
        <f t="shared" si="9"/>
        <v>12</v>
      </c>
      <c r="L129">
        <f t="shared" si="10"/>
        <v>19</v>
      </c>
      <c r="M129">
        <f t="shared" si="11"/>
        <v>5</v>
      </c>
      <c r="N129" s="10">
        <f t="shared" si="12"/>
        <v>837.072</v>
      </c>
      <c r="O129" s="10">
        <f t="shared" si="13"/>
        <v>209.268</v>
      </c>
    </row>
    <row r="130" spans="1:15" ht="15.75" customHeight="1" x14ac:dyDescent="0.25">
      <c r="A130" s="2">
        <v>45744</v>
      </c>
      <c r="B130" s="3">
        <v>6186</v>
      </c>
      <c r="C130" s="4" t="s">
        <v>172</v>
      </c>
      <c r="D130" s="4" t="s">
        <v>12</v>
      </c>
      <c r="E130" s="4" t="s">
        <v>9</v>
      </c>
      <c r="F130" s="4" t="s">
        <v>25</v>
      </c>
      <c r="G130" s="7">
        <v>10</v>
      </c>
      <c r="H130" s="8">
        <v>1452.23</v>
      </c>
      <c r="I130" s="8">
        <f t="shared" si="7"/>
        <v>14522.3</v>
      </c>
      <c r="J130">
        <f t="shared" si="8"/>
        <v>2025</v>
      </c>
      <c r="K130">
        <f t="shared" si="9"/>
        <v>3</v>
      </c>
      <c r="L130">
        <f t="shared" si="10"/>
        <v>28</v>
      </c>
      <c r="M130">
        <f t="shared" si="11"/>
        <v>6</v>
      </c>
      <c r="N130" s="10">
        <f t="shared" si="12"/>
        <v>5808.92</v>
      </c>
      <c r="O130" s="10">
        <f t="shared" si="13"/>
        <v>1452.23</v>
      </c>
    </row>
    <row r="131" spans="1:15" ht="15.75" customHeight="1" x14ac:dyDescent="0.25">
      <c r="A131" s="2">
        <v>45796</v>
      </c>
      <c r="B131" s="3">
        <v>5556</v>
      </c>
      <c r="C131" s="4" t="s">
        <v>173</v>
      </c>
      <c r="D131" s="4" t="s">
        <v>37</v>
      </c>
      <c r="E131" s="4" t="s">
        <v>52</v>
      </c>
      <c r="F131" s="4" t="s">
        <v>82</v>
      </c>
      <c r="G131" s="7">
        <v>9</v>
      </c>
      <c r="H131" s="8">
        <v>589.41999999999996</v>
      </c>
      <c r="I131" s="8">
        <f t="shared" ref="I131:I194" si="14">G131*H131</f>
        <v>5304.78</v>
      </c>
      <c r="J131">
        <f t="shared" ref="J131:J194" si="15">YEAR(A131)</f>
        <v>2025</v>
      </c>
      <c r="K131">
        <f t="shared" ref="K131:K194" si="16">MONTH(A131)</f>
        <v>5</v>
      </c>
      <c r="L131">
        <f t="shared" ref="L131:L194" si="17">DAY(A131)</f>
        <v>19</v>
      </c>
      <c r="M131">
        <f t="shared" ref="M131:M194" si="18">WEEKDAY(A131)</f>
        <v>2</v>
      </c>
      <c r="N131" s="10">
        <f t="shared" ref="N131:N194" si="19">I131*0.4</f>
        <v>2121.9119999999998</v>
      </c>
      <c r="O131" s="10">
        <f t="shared" ref="O131:O194" si="20">I131*0.1</f>
        <v>530.47799999999995</v>
      </c>
    </row>
    <row r="132" spans="1:15" ht="15.75" customHeight="1" x14ac:dyDescent="0.25">
      <c r="A132" s="2">
        <v>45708</v>
      </c>
      <c r="B132" s="3">
        <v>3774</v>
      </c>
      <c r="C132" s="4" t="s">
        <v>174</v>
      </c>
      <c r="D132" s="4" t="s">
        <v>63</v>
      </c>
      <c r="E132" s="4" t="s">
        <v>52</v>
      </c>
      <c r="F132" s="4" t="s">
        <v>66</v>
      </c>
      <c r="G132" s="7">
        <v>1</v>
      </c>
      <c r="H132" s="8">
        <v>791.68</v>
      </c>
      <c r="I132" s="8">
        <f t="shared" si="14"/>
        <v>791.68</v>
      </c>
      <c r="J132">
        <f t="shared" si="15"/>
        <v>2025</v>
      </c>
      <c r="K132">
        <f t="shared" si="16"/>
        <v>2</v>
      </c>
      <c r="L132">
        <f t="shared" si="17"/>
        <v>20</v>
      </c>
      <c r="M132">
        <f t="shared" si="18"/>
        <v>5</v>
      </c>
      <c r="N132" s="10">
        <f t="shared" si="19"/>
        <v>316.67200000000003</v>
      </c>
      <c r="O132" s="10">
        <f t="shared" si="20"/>
        <v>79.168000000000006</v>
      </c>
    </row>
    <row r="133" spans="1:15" ht="15.75" customHeight="1" x14ac:dyDescent="0.25">
      <c r="A133" s="2">
        <v>45747</v>
      </c>
      <c r="B133" s="3">
        <v>4450</v>
      </c>
      <c r="C133" s="4" t="s">
        <v>175</v>
      </c>
      <c r="D133" s="4" t="s">
        <v>16</v>
      </c>
      <c r="E133" s="4" t="s">
        <v>13</v>
      </c>
      <c r="F133" s="4" t="s">
        <v>14</v>
      </c>
      <c r="G133" s="7">
        <v>7</v>
      </c>
      <c r="H133" s="8">
        <v>1682.66</v>
      </c>
      <c r="I133" s="8">
        <f t="shared" si="14"/>
        <v>11778.62</v>
      </c>
      <c r="J133">
        <f t="shared" si="15"/>
        <v>2025</v>
      </c>
      <c r="K133">
        <f t="shared" si="16"/>
        <v>3</v>
      </c>
      <c r="L133">
        <f t="shared" si="17"/>
        <v>31</v>
      </c>
      <c r="M133">
        <f t="shared" si="18"/>
        <v>2</v>
      </c>
      <c r="N133" s="10">
        <f t="shared" si="19"/>
        <v>4711.4480000000003</v>
      </c>
      <c r="O133" s="10">
        <f t="shared" si="20"/>
        <v>1177.8620000000001</v>
      </c>
    </row>
    <row r="134" spans="1:15" ht="15.75" customHeight="1" x14ac:dyDescent="0.25">
      <c r="A134" s="2">
        <v>45645</v>
      </c>
      <c r="B134" s="3">
        <v>3110</v>
      </c>
      <c r="C134" s="4" t="s">
        <v>176</v>
      </c>
      <c r="D134" s="4" t="s">
        <v>16</v>
      </c>
      <c r="E134" s="4" t="s">
        <v>9</v>
      </c>
      <c r="F134" s="4" t="s">
        <v>25</v>
      </c>
      <c r="G134" s="7">
        <v>10</v>
      </c>
      <c r="H134" s="8">
        <v>1507.34</v>
      </c>
      <c r="I134" s="8">
        <f t="shared" si="14"/>
        <v>15073.4</v>
      </c>
      <c r="J134">
        <f t="shared" si="15"/>
        <v>2024</v>
      </c>
      <c r="K134">
        <f t="shared" si="16"/>
        <v>12</v>
      </c>
      <c r="L134">
        <f t="shared" si="17"/>
        <v>19</v>
      </c>
      <c r="M134">
        <f t="shared" si="18"/>
        <v>5</v>
      </c>
      <c r="N134" s="10">
        <f t="shared" si="19"/>
        <v>6029.3600000000006</v>
      </c>
      <c r="O134" s="10">
        <f t="shared" si="20"/>
        <v>1507.3400000000001</v>
      </c>
    </row>
    <row r="135" spans="1:15" ht="15.75" customHeight="1" x14ac:dyDescent="0.25">
      <c r="A135" s="2">
        <v>45681</v>
      </c>
      <c r="B135" s="3">
        <v>5571</v>
      </c>
      <c r="C135" s="4" t="s">
        <v>177</v>
      </c>
      <c r="D135" s="4" t="s">
        <v>8</v>
      </c>
      <c r="E135" s="4" t="s">
        <v>40</v>
      </c>
      <c r="F135" s="4" t="s">
        <v>61</v>
      </c>
      <c r="G135" s="7">
        <v>9</v>
      </c>
      <c r="H135" s="8">
        <v>607.82000000000005</v>
      </c>
      <c r="I135" s="8">
        <f t="shared" si="14"/>
        <v>5470.38</v>
      </c>
      <c r="J135">
        <f t="shared" si="15"/>
        <v>2025</v>
      </c>
      <c r="K135">
        <f t="shared" si="16"/>
        <v>1</v>
      </c>
      <c r="L135">
        <f t="shared" si="17"/>
        <v>24</v>
      </c>
      <c r="M135">
        <f t="shared" si="18"/>
        <v>6</v>
      </c>
      <c r="N135" s="10">
        <f t="shared" si="19"/>
        <v>2188.152</v>
      </c>
      <c r="O135" s="10">
        <f t="shared" si="20"/>
        <v>547.03800000000001</v>
      </c>
    </row>
    <row r="136" spans="1:15" ht="15.75" customHeight="1" x14ac:dyDescent="0.25">
      <c r="A136" s="2">
        <v>45734</v>
      </c>
      <c r="B136" s="3">
        <v>3463</v>
      </c>
      <c r="C136" s="4" t="s">
        <v>178</v>
      </c>
      <c r="D136" s="4" t="s">
        <v>12</v>
      </c>
      <c r="E136" s="4" t="s">
        <v>40</v>
      </c>
      <c r="F136" s="4" t="s">
        <v>70</v>
      </c>
      <c r="G136" s="7">
        <v>4</v>
      </c>
      <c r="H136" s="8">
        <v>22.36</v>
      </c>
      <c r="I136" s="8">
        <f t="shared" si="14"/>
        <v>89.44</v>
      </c>
      <c r="J136">
        <f t="shared" si="15"/>
        <v>2025</v>
      </c>
      <c r="K136">
        <f t="shared" si="16"/>
        <v>3</v>
      </c>
      <c r="L136">
        <f t="shared" si="17"/>
        <v>18</v>
      </c>
      <c r="M136">
        <f t="shared" si="18"/>
        <v>3</v>
      </c>
      <c r="N136" s="10">
        <f t="shared" si="19"/>
        <v>35.776000000000003</v>
      </c>
      <c r="O136" s="10">
        <f t="shared" si="20"/>
        <v>8.9440000000000008</v>
      </c>
    </row>
    <row r="137" spans="1:15" ht="15.75" customHeight="1" x14ac:dyDescent="0.25">
      <c r="A137" s="2">
        <v>45746</v>
      </c>
      <c r="B137" s="3">
        <v>3696</v>
      </c>
      <c r="C137" s="4" t="s">
        <v>179</v>
      </c>
      <c r="D137" s="4" t="s">
        <v>16</v>
      </c>
      <c r="E137" s="4" t="s">
        <v>52</v>
      </c>
      <c r="F137" s="4" t="s">
        <v>53</v>
      </c>
      <c r="G137" s="7">
        <v>1</v>
      </c>
      <c r="H137" s="8">
        <v>2660.26</v>
      </c>
      <c r="I137" s="8">
        <f t="shared" si="14"/>
        <v>2660.26</v>
      </c>
      <c r="J137">
        <f t="shared" si="15"/>
        <v>2025</v>
      </c>
      <c r="K137">
        <f t="shared" si="16"/>
        <v>3</v>
      </c>
      <c r="L137">
        <f t="shared" si="17"/>
        <v>30</v>
      </c>
      <c r="M137">
        <f t="shared" si="18"/>
        <v>1</v>
      </c>
      <c r="N137" s="10">
        <f t="shared" si="19"/>
        <v>1064.104</v>
      </c>
      <c r="O137" s="10">
        <f t="shared" si="20"/>
        <v>266.02600000000001</v>
      </c>
    </row>
    <row r="138" spans="1:15" ht="15.75" customHeight="1" x14ac:dyDescent="0.25">
      <c r="A138" s="2">
        <v>45731</v>
      </c>
      <c r="B138" s="3">
        <v>6151</v>
      </c>
      <c r="C138" s="4" t="s">
        <v>180</v>
      </c>
      <c r="D138" s="4" t="s">
        <v>16</v>
      </c>
      <c r="E138" s="4" t="s">
        <v>13</v>
      </c>
      <c r="F138" s="4" t="s">
        <v>17</v>
      </c>
      <c r="G138" s="7">
        <v>8</v>
      </c>
      <c r="H138" s="8">
        <v>2756.99</v>
      </c>
      <c r="I138" s="8">
        <f t="shared" si="14"/>
        <v>22055.919999999998</v>
      </c>
      <c r="J138">
        <f t="shared" si="15"/>
        <v>2025</v>
      </c>
      <c r="K138">
        <f t="shared" si="16"/>
        <v>3</v>
      </c>
      <c r="L138">
        <f t="shared" si="17"/>
        <v>15</v>
      </c>
      <c r="M138">
        <f t="shared" si="18"/>
        <v>7</v>
      </c>
      <c r="N138" s="10">
        <f t="shared" si="19"/>
        <v>8822.3680000000004</v>
      </c>
      <c r="O138" s="10">
        <f t="shared" si="20"/>
        <v>2205.5920000000001</v>
      </c>
    </row>
    <row r="139" spans="1:15" ht="15.75" customHeight="1" x14ac:dyDescent="0.25">
      <c r="A139" s="2">
        <v>45778</v>
      </c>
      <c r="B139" s="3">
        <v>2197</v>
      </c>
      <c r="C139" s="4" t="s">
        <v>181</v>
      </c>
      <c r="D139" s="4" t="s">
        <v>8</v>
      </c>
      <c r="E139" s="4" t="s">
        <v>52</v>
      </c>
      <c r="F139" s="4" t="s">
        <v>72</v>
      </c>
      <c r="G139" s="7">
        <v>1</v>
      </c>
      <c r="H139" s="8">
        <v>1350.68</v>
      </c>
      <c r="I139" s="8">
        <f t="shared" si="14"/>
        <v>1350.68</v>
      </c>
      <c r="J139">
        <f t="shared" si="15"/>
        <v>2025</v>
      </c>
      <c r="K139">
        <f t="shared" si="16"/>
        <v>5</v>
      </c>
      <c r="L139">
        <f t="shared" si="17"/>
        <v>1</v>
      </c>
      <c r="M139">
        <f t="shared" si="18"/>
        <v>5</v>
      </c>
      <c r="N139" s="10">
        <f t="shared" si="19"/>
        <v>540.27200000000005</v>
      </c>
      <c r="O139" s="10">
        <f t="shared" si="20"/>
        <v>135.06800000000001</v>
      </c>
    </row>
    <row r="140" spans="1:15" ht="15.75" customHeight="1" x14ac:dyDescent="0.25">
      <c r="A140" s="2">
        <v>45660</v>
      </c>
      <c r="B140" s="3">
        <v>8825</v>
      </c>
      <c r="C140" s="4" t="s">
        <v>182</v>
      </c>
      <c r="D140" s="4" t="s">
        <v>63</v>
      </c>
      <c r="E140" s="4" t="s">
        <v>9</v>
      </c>
      <c r="F140" s="4" t="s">
        <v>102</v>
      </c>
      <c r="G140" s="7">
        <v>7</v>
      </c>
      <c r="H140" s="8">
        <v>1498.73</v>
      </c>
      <c r="I140" s="8">
        <f t="shared" si="14"/>
        <v>10491.11</v>
      </c>
      <c r="J140">
        <f t="shared" si="15"/>
        <v>2025</v>
      </c>
      <c r="K140">
        <f t="shared" si="16"/>
        <v>1</v>
      </c>
      <c r="L140">
        <f t="shared" si="17"/>
        <v>3</v>
      </c>
      <c r="M140">
        <f t="shared" si="18"/>
        <v>6</v>
      </c>
      <c r="N140" s="10">
        <f t="shared" si="19"/>
        <v>4196.4440000000004</v>
      </c>
      <c r="O140" s="10">
        <f t="shared" si="20"/>
        <v>1049.1110000000001</v>
      </c>
    </row>
    <row r="141" spans="1:15" ht="15.75" customHeight="1" x14ac:dyDescent="0.25">
      <c r="A141" s="2">
        <v>45684</v>
      </c>
      <c r="B141" s="3">
        <v>8380</v>
      </c>
      <c r="C141" s="4" t="s">
        <v>183</v>
      </c>
      <c r="D141" s="4" t="s">
        <v>22</v>
      </c>
      <c r="E141" s="4" t="s">
        <v>52</v>
      </c>
      <c r="F141" s="4" t="s">
        <v>53</v>
      </c>
      <c r="G141" s="7">
        <v>5</v>
      </c>
      <c r="H141" s="8">
        <v>721.18</v>
      </c>
      <c r="I141" s="8">
        <f t="shared" si="14"/>
        <v>3605.8999999999996</v>
      </c>
      <c r="J141">
        <f t="shared" si="15"/>
        <v>2025</v>
      </c>
      <c r="K141">
        <f t="shared" si="16"/>
        <v>1</v>
      </c>
      <c r="L141">
        <f t="shared" si="17"/>
        <v>27</v>
      </c>
      <c r="M141">
        <f t="shared" si="18"/>
        <v>2</v>
      </c>
      <c r="N141" s="10">
        <f t="shared" si="19"/>
        <v>1442.36</v>
      </c>
      <c r="O141" s="10">
        <f t="shared" si="20"/>
        <v>360.59</v>
      </c>
    </row>
    <row r="142" spans="1:15" ht="15.75" customHeight="1" x14ac:dyDescent="0.25">
      <c r="A142" s="2">
        <v>45638</v>
      </c>
      <c r="B142" s="3">
        <v>3485</v>
      </c>
      <c r="C142" s="4" t="s">
        <v>184</v>
      </c>
      <c r="D142" s="4" t="s">
        <v>27</v>
      </c>
      <c r="E142" s="4" t="s">
        <v>9</v>
      </c>
      <c r="F142" s="4" t="s">
        <v>25</v>
      </c>
      <c r="G142" s="7">
        <v>2</v>
      </c>
      <c r="H142" s="8">
        <v>294.04000000000002</v>
      </c>
      <c r="I142" s="8">
        <f t="shared" si="14"/>
        <v>588.08000000000004</v>
      </c>
      <c r="J142">
        <f t="shared" si="15"/>
        <v>2024</v>
      </c>
      <c r="K142">
        <f t="shared" si="16"/>
        <v>12</v>
      </c>
      <c r="L142">
        <f t="shared" si="17"/>
        <v>12</v>
      </c>
      <c r="M142">
        <f t="shared" si="18"/>
        <v>5</v>
      </c>
      <c r="N142" s="10">
        <f t="shared" si="19"/>
        <v>235.23200000000003</v>
      </c>
      <c r="O142" s="10">
        <f t="shared" si="20"/>
        <v>58.808000000000007</v>
      </c>
    </row>
    <row r="143" spans="1:15" ht="15.75" customHeight="1" x14ac:dyDescent="0.25">
      <c r="A143" s="2">
        <v>45679</v>
      </c>
      <c r="B143" s="3">
        <v>1712</v>
      </c>
      <c r="C143" s="4" t="s">
        <v>185</v>
      </c>
      <c r="D143" s="4" t="s">
        <v>16</v>
      </c>
      <c r="E143" s="4" t="s">
        <v>9</v>
      </c>
      <c r="F143" s="4" t="s">
        <v>43</v>
      </c>
      <c r="G143" s="7">
        <v>7</v>
      </c>
      <c r="H143" s="8">
        <v>464.28</v>
      </c>
      <c r="I143" s="8">
        <f t="shared" si="14"/>
        <v>3249.96</v>
      </c>
      <c r="J143">
        <f t="shared" si="15"/>
        <v>2025</v>
      </c>
      <c r="K143">
        <f t="shared" si="16"/>
        <v>1</v>
      </c>
      <c r="L143">
        <f t="shared" si="17"/>
        <v>22</v>
      </c>
      <c r="M143">
        <f t="shared" si="18"/>
        <v>4</v>
      </c>
      <c r="N143" s="10">
        <f t="shared" si="19"/>
        <v>1299.9840000000002</v>
      </c>
      <c r="O143" s="10">
        <f t="shared" si="20"/>
        <v>324.99600000000004</v>
      </c>
    </row>
    <row r="144" spans="1:15" ht="15.75" customHeight="1" x14ac:dyDescent="0.25">
      <c r="A144" s="2">
        <v>45780</v>
      </c>
      <c r="B144" s="3">
        <v>4059</v>
      </c>
      <c r="C144" s="4" t="s">
        <v>186</v>
      </c>
      <c r="D144" s="4" t="s">
        <v>27</v>
      </c>
      <c r="E144" s="4" t="s">
        <v>9</v>
      </c>
      <c r="F144" s="4" t="s">
        <v>28</v>
      </c>
      <c r="G144" s="7">
        <v>10</v>
      </c>
      <c r="H144" s="8">
        <v>520.70000000000005</v>
      </c>
      <c r="I144" s="8">
        <f t="shared" si="14"/>
        <v>5207</v>
      </c>
      <c r="J144">
        <f t="shared" si="15"/>
        <v>2025</v>
      </c>
      <c r="K144">
        <f t="shared" si="16"/>
        <v>5</v>
      </c>
      <c r="L144">
        <f t="shared" si="17"/>
        <v>3</v>
      </c>
      <c r="M144">
        <f t="shared" si="18"/>
        <v>7</v>
      </c>
      <c r="N144" s="10">
        <f t="shared" si="19"/>
        <v>2082.8000000000002</v>
      </c>
      <c r="O144" s="10">
        <f t="shared" si="20"/>
        <v>520.70000000000005</v>
      </c>
    </row>
    <row r="145" spans="1:15" ht="15.75" customHeight="1" x14ac:dyDescent="0.25">
      <c r="A145" s="2">
        <v>45669</v>
      </c>
      <c r="B145" s="3">
        <v>9550</v>
      </c>
      <c r="C145" s="4" t="s">
        <v>187</v>
      </c>
      <c r="D145" s="4" t="s">
        <v>22</v>
      </c>
      <c r="E145" s="4" t="s">
        <v>13</v>
      </c>
      <c r="F145" s="4" t="s">
        <v>30</v>
      </c>
      <c r="G145" s="7">
        <v>4</v>
      </c>
      <c r="H145" s="8">
        <v>1520.8</v>
      </c>
      <c r="I145" s="8">
        <f t="shared" si="14"/>
        <v>6083.2</v>
      </c>
      <c r="J145">
        <f t="shared" si="15"/>
        <v>2025</v>
      </c>
      <c r="K145">
        <f t="shared" si="16"/>
        <v>1</v>
      </c>
      <c r="L145">
        <f t="shared" si="17"/>
        <v>12</v>
      </c>
      <c r="M145">
        <f t="shared" si="18"/>
        <v>1</v>
      </c>
      <c r="N145" s="10">
        <f t="shared" si="19"/>
        <v>2433.2800000000002</v>
      </c>
      <c r="O145" s="10">
        <f t="shared" si="20"/>
        <v>608.32000000000005</v>
      </c>
    </row>
    <row r="146" spans="1:15" ht="15.75" customHeight="1" x14ac:dyDescent="0.25">
      <c r="A146" s="2">
        <v>45759</v>
      </c>
      <c r="B146" s="3">
        <v>9365</v>
      </c>
      <c r="C146" s="4" t="s">
        <v>188</v>
      </c>
      <c r="D146" s="4" t="s">
        <v>8</v>
      </c>
      <c r="E146" s="4" t="s">
        <v>40</v>
      </c>
      <c r="F146" s="4" t="s">
        <v>70</v>
      </c>
      <c r="G146" s="7">
        <v>8</v>
      </c>
      <c r="H146" s="8">
        <v>976.21</v>
      </c>
      <c r="I146" s="8">
        <f t="shared" si="14"/>
        <v>7809.68</v>
      </c>
      <c r="J146">
        <f t="shared" si="15"/>
        <v>2025</v>
      </c>
      <c r="K146">
        <f t="shared" si="16"/>
        <v>4</v>
      </c>
      <c r="L146">
        <f t="shared" si="17"/>
        <v>12</v>
      </c>
      <c r="M146">
        <f t="shared" si="18"/>
        <v>7</v>
      </c>
      <c r="N146" s="10">
        <f t="shared" si="19"/>
        <v>3123.8720000000003</v>
      </c>
      <c r="O146" s="10">
        <f t="shared" si="20"/>
        <v>780.96800000000007</v>
      </c>
    </row>
    <row r="147" spans="1:15" ht="15.75" customHeight="1" x14ac:dyDescent="0.25">
      <c r="A147" s="2">
        <v>45668</v>
      </c>
      <c r="B147" s="3">
        <v>9652</v>
      </c>
      <c r="C147" s="4" t="s">
        <v>189</v>
      </c>
      <c r="D147" s="4" t="s">
        <v>8</v>
      </c>
      <c r="E147" s="4" t="s">
        <v>40</v>
      </c>
      <c r="F147" s="4" t="s">
        <v>61</v>
      </c>
      <c r="G147" s="7">
        <v>1</v>
      </c>
      <c r="H147" s="8">
        <v>1754.65</v>
      </c>
      <c r="I147" s="8">
        <f t="shared" si="14"/>
        <v>1754.65</v>
      </c>
      <c r="J147">
        <f t="shared" si="15"/>
        <v>2025</v>
      </c>
      <c r="K147">
        <f t="shared" si="16"/>
        <v>1</v>
      </c>
      <c r="L147">
        <f t="shared" si="17"/>
        <v>11</v>
      </c>
      <c r="M147">
        <f t="shared" si="18"/>
        <v>7</v>
      </c>
      <c r="N147" s="10">
        <f t="shared" si="19"/>
        <v>701.86000000000013</v>
      </c>
      <c r="O147" s="10">
        <f t="shared" si="20"/>
        <v>175.46500000000003</v>
      </c>
    </row>
    <row r="148" spans="1:15" ht="15.75" customHeight="1" x14ac:dyDescent="0.25">
      <c r="A148" s="2">
        <v>45741</v>
      </c>
      <c r="B148" s="3">
        <v>1619</v>
      </c>
      <c r="C148" s="4" t="s">
        <v>190</v>
      </c>
      <c r="D148" s="4" t="s">
        <v>63</v>
      </c>
      <c r="E148" s="4" t="s">
        <v>40</v>
      </c>
      <c r="F148" s="4" t="s">
        <v>41</v>
      </c>
      <c r="G148" s="7">
        <v>10</v>
      </c>
      <c r="H148" s="8">
        <v>1588.87</v>
      </c>
      <c r="I148" s="8">
        <f t="shared" si="14"/>
        <v>15888.699999999999</v>
      </c>
      <c r="J148">
        <f t="shared" si="15"/>
        <v>2025</v>
      </c>
      <c r="K148">
        <f t="shared" si="16"/>
        <v>3</v>
      </c>
      <c r="L148">
        <f t="shared" si="17"/>
        <v>25</v>
      </c>
      <c r="M148">
        <f t="shared" si="18"/>
        <v>3</v>
      </c>
      <c r="N148" s="10">
        <f t="shared" si="19"/>
        <v>6355.48</v>
      </c>
      <c r="O148" s="10">
        <f t="shared" si="20"/>
        <v>1588.87</v>
      </c>
    </row>
    <row r="149" spans="1:15" ht="15.75" customHeight="1" x14ac:dyDescent="0.25">
      <c r="A149" s="2">
        <v>45667</v>
      </c>
      <c r="B149" s="3">
        <v>5970</v>
      </c>
      <c r="C149" s="4" t="s">
        <v>191</v>
      </c>
      <c r="D149" s="4" t="s">
        <v>37</v>
      </c>
      <c r="E149" s="4" t="s">
        <v>19</v>
      </c>
      <c r="F149" s="4" t="s">
        <v>32</v>
      </c>
      <c r="G149" s="7">
        <v>2</v>
      </c>
      <c r="H149" s="8">
        <v>2631.91</v>
      </c>
      <c r="I149" s="8">
        <f t="shared" si="14"/>
        <v>5263.82</v>
      </c>
      <c r="J149">
        <f t="shared" si="15"/>
        <v>2025</v>
      </c>
      <c r="K149">
        <f t="shared" si="16"/>
        <v>1</v>
      </c>
      <c r="L149">
        <f t="shared" si="17"/>
        <v>10</v>
      </c>
      <c r="M149">
        <f t="shared" si="18"/>
        <v>6</v>
      </c>
      <c r="N149" s="10">
        <f t="shared" si="19"/>
        <v>2105.5279999999998</v>
      </c>
      <c r="O149" s="10">
        <f t="shared" si="20"/>
        <v>526.38199999999995</v>
      </c>
    </row>
    <row r="150" spans="1:15" ht="15.75" customHeight="1" x14ac:dyDescent="0.25">
      <c r="A150" s="2">
        <v>45772</v>
      </c>
      <c r="B150" s="3">
        <v>3831</v>
      </c>
      <c r="C150" s="4" t="s">
        <v>192</v>
      </c>
      <c r="D150" s="4" t="s">
        <v>63</v>
      </c>
      <c r="E150" s="4" t="s">
        <v>40</v>
      </c>
      <c r="F150" s="4" t="s">
        <v>61</v>
      </c>
      <c r="G150" s="7">
        <v>6</v>
      </c>
      <c r="H150" s="8">
        <v>2364.33</v>
      </c>
      <c r="I150" s="8">
        <f t="shared" si="14"/>
        <v>14185.98</v>
      </c>
      <c r="J150">
        <f t="shared" si="15"/>
        <v>2025</v>
      </c>
      <c r="K150">
        <f t="shared" si="16"/>
        <v>4</v>
      </c>
      <c r="L150">
        <f t="shared" si="17"/>
        <v>25</v>
      </c>
      <c r="M150">
        <f t="shared" si="18"/>
        <v>6</v>
      </c>
      <c r="N150" s="10">
        <f t="shared" si="19"/>
        <v>5674.3919999999998</v>
      </c>
      <c r="O150" s="10">
        <f t="shared" si="20"/>
        <v>1418.598</v>
      </c>
    </row>
    <row r="151" spans="1:15" ht="15.75" customHeight="1" x14ac:dyDescent="0.25">
      <c r="A151" s="2">
        <v>45684</v>
      </c>
      <c r="B151" s="3">
        <v>8894</v>
      </c>
      <c r="C151" s="4" t="s">
        <v>193</v>
      </c>
      <c r="D151" s="4" t="s">
        <v>22</v>
      </c>
      <c r="E151" s="4" t="s">
        <v>40</v>
      </c>
      <c r="F151" s="4" t="s">
        <v>70</v>
      </c>
      <c r="G151" s="7">
        <v>9</v>
      </c>
      <c r="H151" s="8">
        <v>341.75</v>
      </c>
      <c r="I151" s="8">
        <f t="shared" si="14"/>
        <v>3075.75</v>
      </c>
      <c r="J151">
        <f t="shared" si="15"/>
        <v>2025</v>
      </c>
      <c r="K151">
        <f t="shared" si="16"/>
        <v>1</v>
      </c>
      <c r="L151">
        <f t="shared" si="17"/>
        <v>27</v>
      </c>
      <c r="M151">
        <f t="shared" si="18"/>
        <v>2</v>
      </c>
      <c r="N151" s="10">
        <f t="shared" si="19"/>
        <v>1230.3000000000002</v>
      </c>
      <c r="O151" s="10">
        <f t="shared" si="20"/>
        <v>307.57500000000005</v>
      </c>
    </row>
    <row r="152" spans="1:15" ht="15.75" customHeight="1" x14ac:dyDescent="0.25">
      <c r="A152" s="2">
        <v>45784</v>
      </c>
      <c r="B152" s="3">
        <v>2199</v>
      </c>
      <c r="C152" s="4" t="s">
        <v>194</v>
      </c>
      <c r="D152" s="4" t="s">
        <v>16</v>
      </c>
      <c r="E152" s="4" t="s">
        <v>19</v>
      </c>
      <c r="F152" s="4" t="s">
        <v>20</v>
      </c>
      <c r="G152" s="7">
        <v>3</v>
      </c>
      <c r="H152" s="8">
        <v>2105.64</v>
      </c>
      <c r="I152" s="8">
        <f t="shared" si="14"/>
        <v>6316.92</v>
      </c>
      <c r="J152">
        <f t="shared" si="15"/>
        <v>2025</v>
      </c>
      <c r="K152">
        <f t="shared" si="16"/>
        <v>5</v>
      </c>
      <c r="L152">
        <f t="shared" si="17"/>
        <v>7</v>
      </c>
      <c r="M152">
        <f t="shared" si="18"/>
        <v>4</v>
      </c>
      <c r="N152" s="10">
        <f t="shared" si="19"/>
        <v>2526.768</v>
      </c>
      <c r="O152" s="10">
        <f t="shared" si="20"/>
        <v>631.69200000000001</v>
      </c>
    </row>
    <row r="153" spans="1:15" ht="15.75" customHeight="1" x14ac:dyDescent="0.25">
      <c r="A153" s="2">
        <v>45771</v>
      </c>
      <c r="B153" s="3">
        <v>5200</v>
      </c>
      <c r="C153" s="4" t="s">
        <v>195</v>
      </c>
      <c r="D153" s="4" t="s">
        <v>63</v>
      </c>
      <c r="E153" s="4" t="s">
        <v>52</v>
      </c>
      <c r="F153" s="4" t="s">
        <v>53</v>
      </c>
      <c r="G153" s="7">
        <v>2</v>
      </c>
      <c r="H153" s="8">
        <v>2146.1</v>
      </c>
      <c r="I153" s="8">
        <f t="shared" si="14"/>
        <v>4292.2</v>
      </c>
      <c r="J153">
        <f t="shared" si="15"/>
        <v>2025</v>
      </c>
      <c r="K153">
        <f t="shared" si="16"/>
        <v>4</v>
      </c>
      <c r="L153">
        <f t="shared" si="17"/>
        <v>24</v>
      </c>
      <c r="M153">
        <f t="shared" si="18"/>
        <v>5</v>
      </c>
      <c r="N153" s="10">
        <f t="shared" si="19"/>
        <v>1716.88</v>
      </c>
      <c r="O153" s="10">
        <f t="shared" si="20"/>
        <v>429.22</v>
      </c>
    </row>
    <row r="154" spans="1:15" ht="15.75" customHeight="1" x14ac:dyDescent="0.25">
      <c r="A154" s="2">
        <v>45656</v>
      </c>
      <c r="B154" s="3">
        <v>1087</v>
      </c>
      <c r="C154" s="4" t="s">
        <v>196</v>
      </c>
      <c r="D154" s="4" t="s">
        <v>12</v>
      </c>
      <c r="E154" s="4" t="s">
        <v>52</v>
      </c>
      <c r="F154" s="4" t="s">
        <v>66</v>
      </c>
      <c r="G154" s="7">
        <v>1</v>
      </c>
      <c r="H154" s="8">
        <v>2319.21</v>
      </c>
      <c r="I154" s="8">
        <f t="shared" si="14"/>
        <v>2319.21</v>
      </c>
      <c r="J154">
        <f t="shared" si="15"/>
        <v>2024</v>
      </c>
      <c r="K154">
        <f t="shared" si="16"/>
        <v>12</v>
      </c>
      <c r="L154">
        <f t="shared" si="17"/>
        <v>30</v>
      </c>
      <c r="M154">
        <f t="shared" si="18"/>
        <v>2</v>
      </c>
      <c r="N154" s="10">
        <f t="shared" si="19"/>
        <v>927.68400000000008</v>
      </c>
      <c r="O154" s="10">
        <f t="shared" si="20"/>
        <v>231.92100000000002</v>
      </c>
    </row>
    <row r="155" spans="1:15" ht="15.75" customHeight="1" x14ac:dyDescent="0.25">
      <c r="A155" s="2">
        <v>45771</v>
      </c>
      <c r="B155" s="3">
        <v>4340</v>
      </c>
      <c r="C155" s="4" t="s">
        <v>197</v>
      </c>
      <c r="D155" s="4" t="s">
        <v>16</v>
      </c>
      <c r="E155" s="4" t="s">
        <v>19</v>
      </c>
      <c r="F155" s="4" t="s">
        <v>23</v>
      </c>
      <c r="G155" s="7">
        <v>8</v>
      </c>
      <c r="H155" s="8">
        <v>2772.87</v>
      </c>
      <c r="I155" s="8">
        <f t="shared" si="14"/>
        <v>22182.959999999999</v>
      </c>
      <c r="J155">
        <f t="shared" si="15"/>
        <v>2025</v>
      </c>
      <c r="K155">
        <f t="shared" si="16"/>
        <v>4</v>
      </c>
      <c r="L155">
        <f t="shared" si="17"/>
        <v>24</v>
      </c>
      <c r="M155">
        <f t="shared" si="18"/>
        <v>5</v>
      </c>
      <c r="N155" s="10">
        <f t="shared" si="19"/>
        <v>8873.1839999999993</v>
      </c>
      <c r="O155" s="10">
        <f t="shared" si="20"/>
        <v>2218.2959999999998</v>
      </c>
    </row>
    <row r="156" spans="1:15" ht="15.75" customHeight="1" x14ac:dyDescent="0.25">
      <c r="A156" s="2">
        <v>45787</v>
      </c>
      <c r="B156" s="3">
        <v>6399</v>
      </c>
      <c r="C156" s="4" t="s">
        <v>198</v>
      </c>
      <c r="D156" s="4" t="s">
        <v>22</v>
      </c>
      <c r="E156" s="4" t="s">
        <v>13</v>
      </c>
      <c r="F156" s="4" t="s">
        <v>17</v>
      </c>
      <c r="G156" s="7">
        <v>6</v>
      </c>
      <c r="H156" s="8">
        <v>523.59</v>
      </c>
      <c r="I156" s="8">
        <f t="shared" si="14"/>
        <v>3141.54</v>
      </c>
      <c r="J156">
        <f t="shared" si="15"/>
        <v>2025</v>
      </c>
      <c r="K156">
        <f t="shared" si="16"/>
        <v>5</v>
      </c>
      <c r="L156">
        <f t="shared" si="17"/>
        <v>10</v>
      </c>
      <c r="M156">
        <f t="shared" si="18"/>
        <v>7</v>
      </c>
      <c r="N156" s="10">
        <f t="shared" si="19"/>
        <v>1256.616</v>
      </c>
      <c r="O156" s="10">
        <f t="shared" si="20"/>
        <v>314.154</v>
      </c>
    </row>
    <row r="157" spans="1:15" ht="15.75" customHeight="1" x14ac:dyDescent="0.25">
      <c r="A157" s="2">
        <v>45682</v>
      </c>
      <c r="B157" s="3">
        <v>5784</v>
      </c>
      <c r="C157" s="4" t="s">
        <v>199</v>
      </c>
      <c r="D157" s="4" t="s">
        <v>8</v>
      </c>
      <c r="E157" s="4" t="s">
        <v>40</v>
      </c>
      <c r="F157" s="4" t="s">
        <v>70</v>
      </c>
      <c r="G157" s="7">
        <v>8</v>
      </c>
      <c r="H157" s="8">
        <v>2378.06</v>
      </c>
      <c r="I157" s="8">
        <f t="shared" si="14"/>
        <v>19024.48</v>
      </c>
      <c r="J157">
        <f t="shared" si="15"/>
        <v>2025</v>
      </c>
      <c r="K157">
        <f t="shared" si="16"/>
        <v>1</v>
      </c>
      <c r="L157">
        <f t="shared" si="17"/>
        <v>25</v>
      </c>
      <c r="M157">
        <f t="shared" si="18"/>
        <v>7</v>
      </c>
      <c r="N157" s="10">
        <f t="shared" si="19"/>
        <v>7609.7920000000004</v>
      </c>
      <c r="O157" s="10">
        <f t="shared" si="20"/>
        <v>1902.4480000000001</v>
      </c>
    </row>
    <row r="158" spans="1:15" ht="15.75" customHeight="1" x14ac:dyDescent="0.25">
      <c r="A158" s="2">
        <v>45709</v>
      </c>
      <c r="B158" s="3">
        <v>5293</v>
      </c>
      <c r="C158" s="4" t="s">
        <v>200</v>
      </c>
      <c r="D158" s="4" t="s">
        <v>12</v>
      </c>
      <c r="E158" s="4" t="s">
        <v>40</v>
      </c>
      <c r="F158" s="4" t="s">
        <v>61</v>
      </c>
      <c r="G158" s="7">
        <v>5</v>
      </c>
      <c r="H158" s="8">
        <v>182.58</v>
      </c>
      <c r="I158" s="8">
        <f t="shared" si="14"/>
        <v>912.90000000000009</v>
      </c>
      <c r="J158">
        <f t="shared" si="15"/>
        <v>2025</v>
      </c>
      <c r="K158">
        <f t="shared" si="16"/>
        <v>2</v>
      </c>
      <c r="L158">
        <f t="shared" si="17"/>
        <v>21</v>
      </c>
      <c r="M158">
        <f t="shared" si="18"/>
        <v>6</v>
      </c>
      <c r="N158" s="10">
        <f t="shared" si="19"/>
        <v>365.16000000000008</v>
      </c>
      <c r="O158" s="10">
        <f t="shared" si="20"/>
        <v>91.29000000000002</v>
      </c>
    </row>
    <row r="159" spans="1:15" ht="15.75" customHeight="1" x14ac:dyDescent="0.25">
      <c r="A159" s="2">
        <v>45703</v>
      </c>
      <c r="B159" s="3">
        <v>9898</v>
      </c>
      <c r="C159" s="4" t="s">
        <v>201</v>
      </c>
      <c r="D159" s="4" t="s">
        <v>27</v>
      </c>
      <c r="E159" s="4" t="s">
        <v>13</v>
      </c>
      <c r="F159" s="4" t="s">
        <v>14</v>
      </c>
      <c r="G159" s="7">
        <v>9</v>
      </c>
      <c r="H159" s="8">
        <v>2905.37</v>
      </c>
      <c r="I159" s="8">
        <f t="shared" si="14"/>
        <v>26148.329999999998</v>
      </c>
      <c r="J159">
        <f t="shared" si="15"/>
        <v>2025</v>
      </c>
      <c r="K159">
        <f t="shared" si="16"/>
        <v>2</v>
      </c>
      <c r="L159">
        <f t="shared" si="17"/>
        <v>15</v>
      </c>
      <c r="M159">
        <f t="shared" si="18"/>
        <v>7</v>
      </c>
      <c r="N159" s="10">
        <f t="shared" si="19"/>
        <v>10459.332</v>
      </c>
      <c r="O159" s="10">
        <f t="shared" si="20"/>
        <v>2614.8330000000001</v>
      </c>
    </row>
    <row r="160" spans="1:15" ht="15.75" customHeight="1" x14ac:dyDescent="0.25">
      <c r="A160" s="2">
        <v>45760</v>
      </c>
      <c r="B160" s="3">
        <v>5554</v>
      </c>
      <c r="C160" s="4" t="s">
        <v>202</v>
      </c>
      <c r="D160" s="4" t="s">
        <v>12</v>
      </c>
      <c r="E160" s="4" t="s">
        <v>52</v>
      </c>
      <c r="F160" s="4" t="s">
        <v>97</v>
      </c>
      <c r="G160" s="7">
        <v>3</v>
      </c>
      <c r="H160" s="8">
        <v>2495.1</v>
      </c>
      <c r="I160" s="8">
        <f t="shared" si="14"/>
        <v>7485.2999999999993</v>
      </c>
      <c r="J160">
        <f t="shared" si="15"/>
        <v>2025</v>
      </c>
      <c r="K160">
        <f t="shared" si="16"/>
        <v>4</v>
      </c>
      <c r="L160">
        <f t="shared" si="17"/>
        <v>13</v>
      </c>
      <c r="M160">
        <f t="shared" si="18"/>
        <v>1</v>
      </c>
      <c r="N160" s="10">
        <f t="shared" si="19"/>
        <v>2994.12</v>
      </c>
      <c r="O160" s="10">
        <f t="shared" si="20"/>
        <v>748.53</v>
      </c>
    </row>
    <row r="161" spans="1:15" ht="15.75" customHeight="1" x14ac:dyDescent="0.25">
      <c r="A161" s="2">
        <v>45651</v>
      </c>
      <c r="B161" s="3">
        <v>9471</v>
      </c>
      <c r="C161" s="4" t="s">
        <v>203</v>
      </c>
      <c r="D161" s="4" t="s">
        <v>12</v>
      </c>
      <c r="E161" s="4" t="s">
        <v>19</v>
      </c>
      <c r="F161" s="4" t="s">
        <v>75</v>
      </c>
      <c r="G161" s="7">
        <v>10</v>
      </c>
      <c r="H161" s="8">
        <v>984.74</v>
      </c>
      <c r="I161" s="8">
        <f t="shared" si="14"/>
        <v>9847.4</v>
      </c>
      <c r="J161">
        <f t="shared" si="15"/>
        <v>2024</v>
      </c>
      <c r="K161">
        <f t="shared" si="16"/>
        <v>12</v>
      </c>
      <c r="L161">
        <f t="shared" si="17"/>
        <v>25</v>
      </c>
      <c r="M161">
        <f t="shared" si="18"/>
        <v>4</v>
      </c>
      <c r="N161" s="10">
        <f t="shared" si="19"/>
        <v>3938.96</v>
      </c>
      <c r="O161" s="10">
        <f t="shared" si="20"/>
        <v>984.74</v>
      </c>
    </row>
    <row r="162" spans="1:15" ht="15.75" customHeight="1" x14ac:dyDescent="0.25">
      <c r="A162" s="2">
        <v>45778</v>
      </c>
      <c r="B162" s="3">
        <v>1960</v>
      </c>
      <c r="C162" s="4" t="s">
        <v>204</v>
      </c>
      <c r="D162" s="4" t="s">
        <v>37</v>
      </c>
      <c r="E162" s="4" t="s">
        <v>13</v>
      </c>
      <c r="F162" s="4" t="s">
        <v>17</v>
      </c>
      <c r="G162" s="7">
        <v>5</v>
      </c>
      <c r="H162" s="8">
        <v>220.11</v>
      </c>
      <c r="I162" s="8">
        <f t="shared" si="14"/>
        <v>1100.5500000000002</v>
      </c>
      <c r="J162">
        <f t="shared" si="15"/>
        <v>2025</v>
      </c>
      <c r="K162">
        <f t="shared" si="16"/>
        <v>5</v>
      </c>
      <c r="L162">
        <f t="shared" si="17"/>
        <v>1</v>
      </c>
      <c r="M162">
        <f t="shared" si="18"/>
        <v>5</v>
      </c>
      <c r="N162" s="10">
        <f t="shared" si="19"/>
        <v>440.22000000000008</v>
      </c>
      <c r="O162" s="10">
        <f t="shared" si="20"/>
        <v>110.05500000000002</v>
      </c>
    </row>
    <row r="163" spans="1:15" ht="15.75" customHeight="1" x14ac:dyDescent="0.25">
      <c r="A163" s="2">
        <v>45760</v>
      </c>
      <c r="B163" s="3">
        <v>1639</v>
      </c>
      <c r="C163" s="4" t="s">
        <v>205</v>
      </c>
      <c r="D163" s="4" t="s">
        <v>63</v>
      </c>
      <c r="E163" s="4" t="s">
        <v>19</v>
      </c>
      <c r="F163" s="4" t="s">
        <v>75</v>
      </c>
      <c r="G163" s="7">
        <v>3</v>
      </c>
      <c r="H163" s="8">
        <v>1042.55</v>
      </c>
      <c r="I163" s="8">
        <f t="shared" si="14"/>
        <v>3127.6499999999996</v>
      </c>
      <c r="J163">
        <f t="shared" si="15"/>
        <v>2025</v>
      </c>
      <c r="K163">
        <f t="shared" si="16"/>
        <v>4</v>
      </c>
      <c r="L163">
        <f t="shared" si="17"/>
        <v>13</v>
      </c>
      <c r="M163">
        <f t="shared" si="18"/>
        <v>1</v>
      </c>
      <c r="N163" s="10">
        <f t="shared" si="19"/>
        <v>1251.06</v>
      </c>
      <c r="O163" s="10">
        <f t="shared" si="20"/>
        <v>312.76499999999999</v>
      </c>
    </row>
    <row r="164" spans="1:15" ht="15.75" customHeight="1" x14ac:dyDescent="0.25">
      <c r="A164" s="2">
        <v>45720</v>
      </c>
      <c r="B164" s="3">
        <v>5978</v>
      </c>
      <c r="C164" s="4" t="s">
        <v>206</v>
      </c>
      <c r="D164" s="4" t="s">
        <v>12</v>
      </c>
      <c r="E164" s="4" t="s">
        <v>9</v>
      </c>
      <c r="F164" s="4" t="s">
        <v>10</v>
      </c>
      <c r="G164" s="7">
        <v>10</v>
      </c>
      <c r="H164" s="8">
        <v>1674.7</v>
      </c>
      <c r="I164" s="8">
        <f t="shared" si="14"/>
        <v>16747</v>
      </c>
      <c r="J164">
        <f t="shared" si="15"/>
        <v>2025</v>
      </c>
      <c r="K164">
        <f t="shared" si="16"/>
        <v>3</v>
      </c>
      <c r="L164">
        <f t="shared" si="17"/>
        <v>4</v>
      </c>
      <c r="M164">
        <f t="shared" si="18"/>
        <v>3</v>
      </c>
      <c r="N164" s="10">
        <f t="shared" si="19"/>
        <v>6698.8</v>
      </c>
      <c r="O164" s="10">
        <f t="shared" si="20"/>
        <v>1674.7</v>
      </c>
    </row>
    <row r="165" spans="1:15" ht="15.75" customHeight="1" x14ac:dyDescent="0.25">
      <c r="A165" s="2">
        <v>45655</v>
      </c>
      <c r="B165" s="3">
        <v>6117</v>
      </c>
      <c r="C165" s="4" t="s">
        <v>207</v>
      </c>
      <c r="D165" s="4" t="s">
        <v>16</v>
      </c>
      <c r="E165" s="4" t="s">
        <v>13</v>
      </c>
      <c r="F165" s="4" t="s">
        <v>30</v>
      </c>
      <c r="G165" s="7">
        <v>6</v>
      </c>
      <c r="H165" s="8">
        <v>896.99</v>
      </c>
      <c r="I165" s="8">
        <f t="shared" si="14"/>
        <v>5381.9400000000005</v>
      </c>
      <c r="J165">
        <f t="shared" si="15"/>
        <v>2024</v>
      </c>
      <c r="K165">
        <f t="shared" si="16"/>
        <v>12</v>
      </c>
      <c r="L165">
        <f t="shared" si="17"/>
        <v>29</v>
      </c>
      <c r="M165">
        <f t="shared" si="18"/>
        <v>1</v>
      </c>
      <c r="N165" s="10">
        <f t="shared" si="19"/>
        <v>2152.7760000000003</v>
      </c>
      <c r="O165" s="10">
        <f t="shared" si="20"/>
        <v>538.19400000000007</v>
      </c>
    </row>
    <row r="166" spans="1:15" ht="15.75" customHeight="1" x14ac:dyDescent="0.25">
      <c r="A166" s="2">
        <v>45810</v>
      </c>
      <c r="B166" s="3">
        <v>2994</v>
      </c>
      <c r="C166" s="4" t="s">
        <v>208</v>
      </c>
      <c r="D166" s="4" t="s">
        <v>37</v>
      </c>
      <c r="E166" s="4" t="s">
        <v>52</v>
      </c>
      <c r="F166" s="4" t="s">
        <v>97</v>
      </c>
      <c r="G166" s="7">
        <v>8</v>
      </c>
      <c r="H166" s="8">
        <v>2263.35</v>
      </c>
      <c r="I166" s="8">
        <f t="shared" si="14"/>
        <v>18106.8</v>
      </c>
      <c r="J166">
        <f t="shared" si="15"/>
        <v>2025</v>
      </c>
      <c r="K166">
        <f t="shared" si="16"/>
        <v>6</v>
      </c>
      <c r="L166">
        <f t="shared" si="17"/>
        <v>2</v>
      </c>
      <c r="M166">
        <f t="shared" si="18"/>
        <v>2</v>
      </c>
      <c r="N166" s="10">
        <f t="shared" si="19"/>
        <v>7242.72</v>
      </c>
      <c r="O166" s="10">
        <f t="shared" si="20"/>
        <v>1810.68</v>
      </c>
    </row>
    <row r="167" spans="1:15" ht="15.75" customHeight="1" x14ac:dyDescent="0.25">
      <c r="A167" s="2">
        <v>45814</v>
      </c>
      <c r="B167" s="3">
        <v>2405</v>
      </c>
      <c r="C167" s="4" t="s">
        <v>209</v>
      </c>
      <c r="D167" s="4" t="s">
        <v>8</v>
      </c>
      <c r="E167" s="4" t="s">
        <v>52</v>
      </c>
      <c r="F167" s="4" t="s">
        <v>53</v>
      </c>
      <c r="G167" s="7">
        <v>8</v>
      </c>
      <c r="H167" s="8">
        <v>1072.44</v>
      </c>
      <c r="I167" s="8">
        <f t="shared" si="14"/>
        <v>8579.52</v>
      </c>
      <c r="J167">
        <f t="shared" si="15"/>
        <v>2025</v>
      </c>
      <c r="K167">
        <f t="shared" si="16"/>
        <v>6</v>
      </c>
      <c r="L167">
        <f t="shared" si="17"/>
        <v>6</v>
      </c>
      <c r="M167">
        <f t="shared" si="18"/>
        <v>6</v>
      </c>
      <c r="N167" s="10">
        <f t="shared" si="19"/>
        <v>3431.8080000000004</v>
      </c>
      <c r="O167" s="10">
        <f t="shared" si="20"/>
        <v>857.95200000000011</v>
      </c>
    </row>
    <row r="168" spans="1:15" ht="15.75" customHeight="1" x14ac:dyDescent="0.25">
      <c r="A168" s="2">
        <v>45700</v>
      </c>
      <c r="B168" s="3">
        <v>9128</v>
      </c>
      <c r="C168" s="4" t="s">
        <v>210</v>
      </c>
      <c r="D168" s="4" t="s">
        <v>12</v>
      </c>
      <c r="E168" s="4" t="s">
        <v>40</v>
      </c>
      <c r="F168" s="4" t="s">
        <v>45</v>
      </c>
      <c r="G168" s="7">
        <v>6</v>
      </c>
      <c r="H168" s="8">
        <v>892.65</v>
      </c>
      <c r="I168" s="8">
        <f t="shared" si="14"/>
        <v>5355.9</v>
      </c>
      <c r="J168">
        <f t="shared" si="15"/>
        <v>2025</v>
      </c>
      <c r="K168">
        <f t="shared" si="16"/>
        <v>2</v>
      </c>
      <c r="L168">
        <f t="shared" si="17"/>
        <v>12</v>
      </c>
      <c r="M168">
        <f t="shared" si="18"/>
        <v>4</v>
      </c>
      <c r="N168" s="10">
        <f t="shared" si="19"/>
        <v>2142.36</v>
      </c>
      <c r="O168" s="10">
        <f t="shared" si="20"/>
        <v>535.59</v>
      </c>
    </row>
    <row r="169" spans="1:15" ht="15.75" customHeight="1" x14ac:dyDescent="0.25">
      <c r="A169" s="2">
        <v>45647</v>
      </c>
      <c r="B169" s="3">
        <v>7030</v>
      </c>
      <c r="C169" s="4" t="s">
        <v>211</v>
      </c>
      <c r="D169" s="4" t="s">
        <v>8</v>
      </c>
      <c r="E169" s="4" t="s">
        <v>19</v>
      </c>
      <c r="F169" s="4" t="s">
        <v>20</v>
      </c>
      <c r="G169" s="7">
        <v>8</v>
      </c>
      <c r="H169" s="8">
        <v>1022.96</v>
      </c>
      <c r="I169" s="8">
        <f t="shared" si="14"/>
        <v>8183.68</v>
      </c>
      <c r="J169">
        <f t="shared" si="15"/>
        <v>2024</v>
      </c>
      <c r="K169">
        <f t="shared" si="16"/>
        <v>12</v>
      </c>
      <c r="L169">
        <f t="shared" si="17"/>
        <v>21</v>
      </c>
      <c r="M169">
        <f t="shared" si="18"/>
        <v>7</v>
      </c>
      <c r="N169" s="10">
        <f t="shared" si="19"/>
        <v>3273.4720000000002</v>
      </c>
      <c r="O169" s="10">
        <f t="shared" si="20"/>
        <v>818.36800000000005</v>
      </c>
    </row>
    <row r="170" spans="1:15" ht="15.75" customHeight="1" x14ac:dyDescent="0.25">
      <c r="A170" s="2">
        <v>45745</v>
      </c>
      <c r="B170" s="3">
        <v>3470</v>
      </c>
      <c r="C170" s="4" t="s">
        <v>212</v>
      </c>
      <c r="D170" s="4" t="s">
        <v>12</v>
      </c>
      <c r="E170" s="4" t="s">
        <v>13</v>
      </c>
      <c r="F170" s="4" t="s">
        <v>17</v>
      </c>
      <c r="G170" s="7">
        <v>5</v>
      </c>
      <c r="H170" s="8">
        <v>637.16999999999996</v>
      </c>
      <c r="I170" s="8">
        <f t="shared" si="14"/>
        <v>3185.85</v>
      </c>
      <c r="J170">
        <f t="shared" si="15"/>
        <v>2025</v>
      </c>
      <c r="K170">
        <f t="shared" si="16"/>
        <v>3</v>
      </c>
      <c r="L170">
        <f t="shared" si="17"/>
        <v>29</v>
      </c>
      <c r="M170">
        <f t="shared" si="18"/>
        <v>7</v>
      </c>
      <c r="N170" s="10">
        <f t="shared" si="19"/>
        <v>1274.3400000000001</v>
      </c>
      <c r="O170" s="10">
        <f t="shared" si="20"/>
        <v>318.58500000000004</v>
      </c>
    </row>
    <row r="171" spans="1:15" ht="15.75" customHeight="1" x14ac:dyDescent="0.25">
      <c r="A171" s="2">
        <v>45692</v>
      </c>
      <c r="B171" s="3">
        <v>6695</v>
      </c>
      <c r="C171" s="4" t="s">
        <v>159</v>
      </c>
      <c r="D171" s="4" t="s">
        <v>16</v>
      </c>
      <c r="E171" s="4" t="s">
        <v>40</v>
      </c>
      <c r="F171" s="4" t="s">
        <v>41</v>
      </c>
      <c r="G171" s="7">
        <v>4</v>
      </c>
      <c r="H171" s="8">
        <v>1182.29</v>
      </c>
      <c r="I171" s="8">
        <f t="shared" si="14"/>
        <v>4729.16</v>
      </c>
      <c r="J171">
        <f t="shared" si="15"/>
        <v>2025</v>
      </c>
      <c r="K171">
        <f t="shared" si="16"/>
        <v>2</v>
      </c>
      <c r="L171">
        <f t="shared" si="17"/>
        <v>4</v>
      </c>
      <c r="M171">
        <f t="shared" si="18"/>
        <v>3</v>
      </c>
      <c r="N171" s="10">
        <f t="shared" si="19"/>
        <v>1891.664</v>
      </c>
      <c r="O171" s="10">
        <f t="shared" si="20"/>
        <v>472.916</v>
      </c>
    </row>
    <row r="172" spans="1:15" ht="15.75" customHeight="1" x14ac:dyDescent="0.25">
      <c r="A172" s="2">
        <v>45676</v>
      </c>
      <c r="B172" s="3">
        <v>7831</v>
      </c>
      <c r="C172" s="4" t="s">
        <v>213</v>
      </c>
      <c r="D172" s="4" t="s">
        <v>22</v>
      </c>
      <c r="E172" s="4" t="s">
        <v>40</v>
      </c>
      <c r="F172" s="4" t="s">
        <v>85</v>
      </c>
      <c r="G172" s="7">
        <v>10</v>
      </c>
      <c r="H172" s="8">
        <v>2175.89</v>
      </c>
      <c r="I172" s="8">
        <f t="shared" si="14"/>
        <v>21758.899999999998</v>
      </c>
      <c r="J172">
        <f t="shared" si="15"/>
        <v>2025</v>
      </c>
      <c r="K172">
        <f t="shared" si="16"/>
        <v>1</v>
      </c>
      <c r="L172">
        <f t="shared" si="17"/>
        <v>19</v>
      </c>
      <c r="M172">
        <f t="shared" si="18"/>
        <v>1</v>
      </c>
      <c r="N172" s="10">
        <f t="shared" si="19"/>
        <v>8703.56</v>
      </c>
      <c r="O172" s="10">
        <f t="shared" si="20"/>
        <v>2175.89</v>
      </c>
    </row>
    <row r="173" spans="1:15" ht="15.75" customHeight="1" x14ac:dyDescent="0.25">
      <c r="A173" s="2">
        <v>45752</v>
      </c>
      <c r="B173" s="3">
        <v>2219</v>
      </c>
      <c r="C173" s="4" t="s">
        <v>214</v>
      </c>
      <c r="D173" s="4" t="s">
        <v>22</v>
      </c>
      <c r="E173" s="4" t="s">
        <v>13</v>
      </c>
      <c r="F173" s="4" t="s">
        <v>14</v>
      </c>
      <c r="G173" s="7">
        <v>5</v>
      </c>
      <c r="H173" s="8">
        <v>2426.59</v>
      </c>
      <c r="I173" s="8">
        <f t="shared" si="14"/>
        <v>12132.95</v>
      </c>
      <c r="J173">
        <f t="shared" si="15"/>
        <v>2025</v>
      </c>
      <c r="K173">
        <f t="shared" si="16"/>
        <v>4</v>
      </c>
      <c r="L173">
        <f t="shared" si="17"/>
        <v>5</v>
      </c>
      <c r="M173">
        <f t="shared" si="18"/>
        <v>7</v>
      </c>
      <c r="N173" s="10">
        <f t="shared" si="19"/>
        <v>4853.18</v>
      </c>
      <c r="O173" s="10">
        <f t="shared" si="20"/>
        <v>1213.2950000000001</v>
      </c>
    </row>
    <row r="174" spans="1:15" ht="15.75" customHeight="1" x14ac:dyDescent="0.25">
      <c r="A174" s="2">
        <v>45747</v>
      </c>
      <c r="B174" s="3">
        <v>4959</v>
      </c>
      <c r="C174" s="4" t="s">
        <v>215</v>
      </c>
      <c r="D174" s="4" t="s">
        <v>16</v>
      </c>
      <c r="E174" s="4" t="s">
        <v>52</v>
      </c>
      <c r="F174" s="4" t="s">
        <v>66</v>
      </c>
      <c r="G174" s="7">
        <v>3</v>
      </c>
      <c r="H174" s="8">
        <v>1022.47</v>
      </c>
      <c r="I174" s="8">
        <f t="shared" si="14"/>
        <v>3067.41</v>
      </c>
      <c r="J174">
        <f t="shared" si="15"/>
        <v>2025</v>
      </c>
      <c r="K174">
        <f t="shared" si="16"/>
        <v>3</v>
      </c>
      <c r="L174">
        <f t="shared" si="17"/>
        <v>31</v>
      </c>
      <c r="M174">
        <f t="shared" si="18"/>
        <v>2</v>
      </c>
      <c r="N174" s="10">
        <f t="shared" si="19"/>
        <v>1226.9639999999999</v>
      </c>
      <c r="O174" s="10">
        <f t="shared" si="20"/>
        <v>306.74099999999999</v>
      </c>
    </row>
    <row r="175" spans="1:15" ht="15.75" customHeight="1" x14ac:dyDescent="0.25">
      <c r="A175" s="2">
        <v>45800</v>
      </c>
      <c r="B175" s="3">
        <v>6541</v>
      </c>
      <c r="C175" s="4" t="s">
        <v>216</v>
      </c>
      <c r="D175" s="4" t="s">
        <v>63</v>
      </c>
      <c r="E175" s="4" t="s">
        <v>40</v>
      </c>
      <c r="F175" s="4" t="s">
        <v>41</v>
      </c>
      <c r="G175" s="7">
        <v>2</v>
      </c>
      <c r="H175" s="8">
        <v>916.94</v>
      </c>
      <c r="I175" s="8">
        <f t="shared" si="14"/>
        <v>1833.88</v>
      </c>
      <c r="J175">
        <f t="shared" si="15"/>
        <v>2025</v>
      </c>
      <c r="K175">
        <f t="shared" si="16"/>
        <v>5</v>
      </c>
      <c r="L175">
        <f t="shared" si="17"/>
        <v>23</v>
      </c>
      <c r="M175">
        <f t="shared" si="18"/>
        <v>6</v>
      </c>
      <c r="N175" s="10">
        <f t="shared" si="19"/>
        <v>733.55200000000013</v>
      </c>
      <c r="O175" s="10">
        <f t="shared" si="20"/>
        <v>183.38800000000003</v>
      </c>
    </row>
    <row r="176" spans="1:15" ht="15.75" customHeight="1" x14ac:dyDescent="0.25">
      <c r="A176" s="2">
        <v>45708</v>
      </c>
      <c r="B176" s="3">
        <v>5607</v>
      </c>
      <c r="C176" s="4" t="s">
        <v>217</v>
      </c>
      <c r="D176" s="4" t="s">
        <v>16</v>
      </c>
      <c r="E176" s="4" t="s">
        <v>52</v>
      </c>
      <c r="F176" s="4" t="s">
        <v>66</v>
      </c>
      <c r="G176" s="7">
        <v>1</v>
      </c>
      <c r="H176" s="8">
        <v>1157.8499999999999</v>
      </c>
      <c r="I176" s="8">
        <f t="shared" si="14"/>
        <v>1157.8499999999999</v>
      </c>
      <c r="J176">
        <f t="shared" si="15"/>
        <v>2025</v>
      </c>
      <c r="K176">
        <f t="shared" si="16"/>
        <v>2</v>
      </c>
      <c r="L176">
        <f t="shared" si="17"/>
        <v>20</v>
      </c>
      <c r="M176">
        <f t="shared" si="18"/>
        <v>5</v>
      </c>
      <c r="N176" s="10">
        <f t="shared" si="19"/>
        <v>463.14</v>
      </c>
      <c r="O176" s="10">
        <f t="shared" si="20"/>
        <v>115.785</v>
      </c>
    </row>
    <row r="177" spans="1:15" ht="15.75" customHeight="1" x14ac:dyDescent="0.25">
      <c r="A177" s="2">
        <v>45801</v>
      </c>
      <c r="B177" s="3">
        <v>6352</v>
      </c>
      <c r="C177" s="4" t="s">
        <v>218</v>
      </c>
      <c r="D177" s="4" t="s">
        <v>37</v>
      </c>
      <c r="E177" s="4" t="s">
        <v>9</v>
      </c>
      <c r="F177" s="4" t="s">
        <v>102</v>
      </c>
      <c r="G177" s="7">
        <v>10</v>
      </c>
      <c r="H177" s="8">
        <v>2350.6999999999998</v>
      </c>
      <c r="I177" s="8">
        <f t="shared" si="14"/>
        <v>23507</v>
      </c>
      <c r="J177">
        <f t="shared" si="15"/>
        <v>2025</v>
      </c>
      <c r="K177">
        <f t="shared" si="16"/>
        <v>5</v>
      </c>
      <c r="L177">
        <f t="shared" si="17"/>
        <v>24</v>
      </c>
      <c r="M177">
        <f t="shared" si="18"/>
        <v>7</v>
      </c>
      <c r="N177" s="10">
        <f t="shared" si="19"/>
        <v>9402.8000000000011</v>
      </c>
      <c r="O177" s="10">
        <f t="shared" si="20"/>
        <v>2350.7000000000003</v>
      </c>
    </row>
    <row r="178" spans="1:15" ht="15.75" customHeight="1" x14ac:dyDescent="0.25">
      <c r="A178" s="2">
        <v>45680</v>
      </c>
      <c r="B178" s="3">
        <v>9109</v>
      </c>
      <c r="C178" s="4" t="s">
        <v>219</v>
      </c>
      <c r="D178" s="4" t="s">
        <v>12</v>
      </c>
      <c r="E178" s="4" t="s">
        <v>13</v>
      </c>
      <c r="F178" s="4" t="s">
        <v>56</v>
      </c>
      <c r="G178" s="7">
        <v>6</v>
      </c>
      <c r="H178" s="8">
        <v>1558.15</v>
      </c>
      <c r="I178" s="8">
        <f t="shared" si="14"/>
        <v>9348.9000000000015</v>
      </c>
      <c r="J178">
        <f t="shared" si="15"/>
        <v>2025</v>
      </c>
      <c r="K178">
        <f t="shared" si="16"/>
        <v>1</v>
      </c>
      <c r="L178">
        <f t="shared" si="17"/>
        <v>23</v>
      </c>
      <c r="M178">
        <f t="shared" si="18"/>
        <v>5</v>
      </c>
      <c r="N178" s="10">
        <f t="shared" si="19"/>
        <v>3739.5600000000009</v>
      </c>
      <c r="O178" s="10">
        <f t="shared" si="20"/>
        <v>934.89000000000021</v>
      </c>
    </row>
    <row r="179" spans="1:15" ht="15.75" customHeight="1" x14ac:dyDescent="0.25">
      <c r="A179" s="2">
        <v>45818</v>
      </c>
      <c r="B179" s="3">
        <v>4273</v>
      </c>
      <c r="C179" s="4" t="s">
        <v>220</v>
      </c>
      <c r="D179" s="4" t="s">
        <v>16</v>
      </c>
      <c r="E179" s="4" t="s">
        <v>19</v>
      </c>
      <c r="F179" s="4" t="s">
        <v>20</v>
      </c>
      <c r="G179" s="7">
        <v>10</v>
      </c>
      <c r="H179" s="8">
        <v>746.31</v>
      </c>
      <c r="I179" s="8">
        <f t="shared" si="14"/>
        <v>7463.0999999999995</v>
      </c>
      <c r="J179">
        <f t="shared" si="15"/>
        <v>2025</v>
      </c>
      <c r="K179">
        <f t="shared" si="16"/>
        <v>6</v>
      </c>
      <c r="L179">
        <f t="shared" si="17"/>
        <v>10</v>
      </c>
      <c r="M179">
        <f t="shared" si="18"/>
        <v>3</v>
      </c>
      <c r="N179" s="10">
        <f t="shared" si="19"/>
        <v>2985.24</v>
      </c>
      <c r="O179" s="10">
        <f t="shared" si="20"/>
        <v>746.31</v>
      </c>
    </row>
    <row r="180" spans="1:15" ht="15.75" customHeight="1" x14ac:dyDescent="0.25">
      <c r="A180" s="2">
        <v>45804</v>
      </c>
      <c r="B180" s="3">
        <v>4776</v>
      </c>
      <c r="C180" s="4" t="s">
        <v>221</v>
      </c>
      <c r="D180" s="4" t="s">
        <v>16</v>
      </c>
      <c r="E180" s="4" t="s">
        <v>13</v>
      </c>
      <c r="F180" s="4" t="s">
        <v>17</v>
      </c>
      <c r="G180" s="7">
        <v>10</v>
      </c>
      <c r="H180" s="8">
        <v>1081.3599999999999</v>
      </c>
      <c r="I180" s="8">
        <f t="shared" si="14"/>
        <v>10813.599999999999</v>
      </c>
      <c r="J180">
        <f t="shared" si="15"/>
        <v>2025</v>
      </c>
      <c r="K180">
        <f t="shared" si="16"/>
        <v>5</v>
      </c>
      <c r="L180">
        <f t="shared" si="17"/>
        <v>27</v>
      </c>
      <c r="M180">
        <f t="shared" si="18"/>
        <v>3</v>
      </c>
      <c r="N180" s="10">
        <f t="shared" si="19"/>
        <v>4325.4399999999996</v>
      </c>
      <c r="O180" s="10">
        <f t="shared" si="20"/>
        <v>1081.3599999999999</v>
      </c>
    </row>
    <row r="181" spans="1:15" ht="15.75" customHeight="1" x14ac:dyDescent="0.25">
      <c r="A181" s="2">
        <v>45663</v>
      </c>
      <c r="B181" s="3">
        <v>1549</v>
      </c>
      <c r="C181" s="4" t="s">
        <v>222</v>
      </c>
      <c r="D181" s="4" t="s">
        <v>8</v>
      </c>
      <c r="E181" s="4" t="s">
        <v>52</v>
      </c>
      <c r="F181" s="4" t="s">
        <v>66</v>
      </c>
      <c r="G181" s="7">
        <v>4</v>
      </c>
      <c r="H181" s="8">
        <v>819.91</v>
      </c>
      <c r="I181" s="8">
        <f t="shared" si="14"/>
        <v>3279.64</v>
      </c>
      <c r="J181">
        <f t="shared" si="15"/>
        <v>2025</v>
      </c>
      <c r="K181">
        <f t="shared" si="16"/>
        <v>1</v>
      </c>
      <c r="L181">
        <f t="shared" si="17"/>
        <v>6</v>
      </c>
      <c r="M181">
        <f t="shared" si="18"/>
        <v>2</v>
      </c>
      <c r="N181" s="10">
        <f t="shared" si="19"/>
        <v>1311.856</v>
      </c>
      <c r="O181" s="10">
        <f t="shared" si="20"/>
        <v>327.964</v>
      </c>
    </row>
    <row r="182" spans="1:15" ht="15.75" customHeight="1" x14ac:dyDescent="0.25">
      <c r="A182" s="2">
        <v>45680</v>
      </c>
      <c r="B182" s="3">
        <v>3228</v>
      </c>
      <c r="C182" s="4" t="s">
        <v>223</v>
      </c>
      <c r="D182" s="4" t="s">
        <v>16</v>
      </c>
      <c r="E182" s="4" t="s">
        <v>13</v>
      </c>
      <c r="F182" s="4" t="s">
        <v>30</v>
      </c>
      <c r="G182" s="7">
        <v>8</v>
      </c>
      <c r="H182" s="8">
        <v>1407.58</v>
      </c>
      <c r="I182" s="8">
        <f t="shared" si="14"/>
        <v>11260.64</v>
      </c>
      <c r="J182">
        <f t="shared" si="15"/>
        <v>2025</v>
      </c>
      <c r="K182">
        <f t="shared" si="16"/>
        <v>1</v>
      </c>
      <c r="L182">
        <f t="shared" si="17"/>
        <v>23</v>
      </c>
      <c r="M182">
        <f t="shared" si="18"/>
        <v>5</v>
      </c>
      <c r="N182" s="10">
        <f t="shared" si="19"/>
        <v>4504.2560000000003</v>
      </c>
      <c r="O182" s="10">
        <f t="shared" si="20"/>
        <v>1126.0640000000001</v>
      </c>
    </row>
    <row r="183" spans="1:15" ht="15.75" customHeight="1" x14ac:dyDescent="0.25">
      <c r="A183" s="2">
        <v>45643</v>
      </c>
      <c r="B183" s="3">
        <v>3543</v>
      </c>
      <c r="C183" s="4" t="s">
        <v>224</v>
      </c>
      <c r="D183" s="4" t="s">
        <v>22</v>
      </c>
      <c r="E183" s="4" t="s">
        <v>13</v>
      </c>
      <c r="F183" s="4" t="s">
        <v>56</v>
      </c>
      <c r="G183" s="7">
        <v>5</v>
      </c>
      <c r="H183" s="8">
        <v>158.02000000000001</v>
      </c>
      <c r="I183" s="8">
        <f t="shared" si="14"/>
        <v>790.1</v>
      </c>
      <c r="J183">
        <f t="shared" si="15"/>
        <v>2024</v>
      </c>
      <c r="K183">
        <f t="shared" si="16"/>
        <v>12</v>
      </c>
      <c r="L183">
        <f t="shared" si="17"/>
        <v>17</v>
      </c>
      <c r="M183">
        <f t="shared" si="18"/>
        <v>3</v>
      </c>
      <c r="N183" s="10">
        <f t="shared" si="19"/>
        <v>316.04000000000002</v>
      </c>
      <c r="O183" s="10">
        <f t="shared" si="20"/>
        <v>79.010000000000005</v>
      </c>
    </row>
    <row r="184" spans="1:15" ht="15.75" customHeight="1" x14ac:dyDescent="0.25">
      <c r="A184" s="2">
        <v>45703</v>
      </c>
      <c r="B184" s="3">
        <v>3895</v>
      </c>
      <c r="C184" s="4" t="s">
        <v>225</v>
      </c>
      <c r="D184" s="4" t="s">
        <v>22</v>
      </c>
      <c r="E184" s="4" t="s">
        <v>40</v>
      </c>
      <c r="F184" s="4" t="s">
        <v>45</v>
      </c>
      <c r="G184" s="7">
        <v>7</v>
      </c>
      <c r="H184" s="8">
        <v>1733.91</v>
      </c>
      <c r="I184" s="8">
        <f t="shared" si="14"/>
        <v>12137.37</v>
      </c>
      <c r="J184">
        <f t="shared" si="15"/>
        <v>2025</v>
      </c>
      <c r="K184">
        <f t="shared" si="16"/>
        <v>2</v>
      </c>
      <c r="L184">
        <f t="shared" si="17"/>
        <v>15</v>
      </c>
      <c r="M184">
        <f t="shared" si="18"/>
        <v>7</v>
      </c>
      <c r="N184" s="10">
        <f t="shared" si="19"/>
        <v>4854.9480000000003</v>
      </c>
      <c r="O184" s="10">
        <f t="shared" si="20"/>
        <v>1213.7370000000001</v>
      </c>
    </row>
    <row r="185" spans="1:15" ht="15.75" customHeight="1" x14ac:dyDescent="0.25">
      <c r="A185" s="2">
        <v>45730</v>
      </c>
      <c r="B185" s="3">
        <v>2976</v>
      </c>
      <c r="C185" s="4" t="s">
        <v>226</v>
      </c>
      <c r="D185" s="4" t="s">
        <v>12</v>
      </c>
      <c r="E185" s="4" t="s">
        <v>40</v>
      </c>
      <c r="F185" s="4" t="s">
        <v>45</v>
      </c>
      <c r="G185" s="7">
        <v>7</v>
      </c>
      <c r="H185" s="8">
        <v>558.37</v>
      </c>
      <c r="I185" s="8">
        <f t="shared" si="14"/>
        <v>3908.59</v>
      </c>
      <c r="J185">
        <f t="shared" si="15"/>
        <v>2025</v>
      </c>
      <c r="K185">
        <f t="shared" si="16"/>
        <v>3</v>
      </c>
      <c r="L185">
        <f t="shared" si="17"/>
        <v>14</v>
      </c>
      <c r="M185">
        <f t="shared" si="18"/>
        <v>6</v>
      </c>
      <c r="N185" s="10">
        <f t="shared" si="19"/>
        <v>1563.4360000000001</v>
      </c>
      <c r="O185" s="10">
        <f t="shared" si="20"/>
        <v>390.85900000000004</v>
      </c>
    </row>
    <row r="186" spans="1:15" ht="15.75" customHeight="1" x14ac:dyDescent="0.25">
      <c r="A186" s="2">
        <v>45692</v>
      </c>
      <c r="B186" s="3">
        <v>8984</v>
      </c>
      <c r="C186" s="4" t="s">
        <v>227</v>
      </c>
      <c r="D186" s="4" t="s">
        <v>63</v>
      </c>
      <c r="E186" s="4" t="s">
        <v>19</v>
      </c>
      <c r="F186" s="4" t="s">
        <v>75</v>
      </c>
      <c r="G186" s="7">
        <v>9</v>
      </c>
      <c r="H186" s="8">
        <v>2022.72</v>
      </c>
      <c r="I186" s="8">
        <f t="shared" si="14"/>
        <v>18204.48</v>
      </c>
      <c r="J186">
        <f t="shared" si="15"/>
        <v>2025</v>
      </c>
      <c r="K186">
        <f t="shared" si="16"/>
        <v>2</v>
      </c>
      <c r="L186">
        <f t="shared" si="17"/>
        <v>4</v>
      </c>
      <c r="M186">
        <f t="shared" si="18"/>
        <v>3</v>
      </c>
      <c r="N186" s="10">
        <f t="shared" si="19"/>
        <v>7281.7920000000004</v>
      </c>
      <c r="O186" s="10">
        <f t="shared" si="20"/>
        <v>1820.4480000000001</v>
      </c>
    </row>
    <row r="187" spans="1:15" ht="15.75" customHeight="1" x14ac:dyDescent="0.25">
      <c r="A187" s="2">
        <v>45759</v>
      </c>
      <c r="B187" s="3">
        <v>8251</v>
      </c>
      <c r="C187" s="4" t="s">
        <v>228</v>
      </c>
      <c r="D187" s="4" t="s">
        <v>27</v>
      </c>
      <c r="E187" s="4" t="s">
        <v>19</v>
      </c>
      <c r="F187" s="4" t="s">
        <v>32</v>
      </c>
      <c r="G187" s="7">
        <v>8</v>
      </c>
      <c r="H187" s="8">
        <v>1574.21</v>
      </c>
      <c r="I187" s="8">
        <f t="shared" si="14"/>
        <v>12593.68</v>
      </c>
      <c r="J187">
        <f t="shared" si="15"/>
        <v>2025</v>
      </c>
      <c r="K187">
        <f t="shared" si="16"/>
        <v>4</v>
      </c>
      <c r="L187">
        <f t="shared" si="17"/>
        <v>12</v>
      </c>
      <c r="M187">
        <f t="shared" si="18"/>
        <v>7</v>
      </c>
      <c r="N187" s="10">
        <f t="shared" si="19"/>
        <v>5037.4720000000007</v>
      </c>
      <c r="O187" s="10">
        <f t="shared" si="20"/>
        <v>1259.3680000000002</v>
      </c>
    </row>
    <row r="188" spans="1:15" ht="15.75" customHeight="1" x14ac:dyDescent="0.25">
      <c r="A188" s="2">
        <v>45808</v>
      </c>
      <c r="B188" s="3">
        <v>9968</v>
      </c>
      <c r="C188" s="4" t="s">
        <v>229</v>
      </c>
      <c r="D188" s="4" t="s">
        <v>37</v>
      </c>
      <c r="E188" s="4" t="s">
        <v>52</v>
      </c>
      <c r="F188" s="4" t="s">
        <v>53</v>
      </c>
      <c r="G188" s="7">
        <v>7</v>
      </c>
      <c r="H188" s="8">
        <v>1493.85</v>
      </c>
      <c r="I188" s="8">
        <f t="shared" si="14"/>
        <v>10456.949999999999</v>
      </c>
      <c r="J188">
        <f t="shared" si="15"/>
        <v>2025</v>
      </c>
      <c r="K188">
        <f t="shared" si="16"/>
        <v>5</v>
      </c>
      <c r="L188">
        <f t="shared" si="17"/>
        <v>31</v>
      </c>
      <c r="M188">
        <f t="shared" si="18"/>
        <v>7</v>
      </c>
      <c r="N188" s="10">
        <f t="shared" si="19"/>
        <v>4182.78</v>
      </c>
      <c r="O188" s="10">
        <f t="shared" si="20"/>
        <v>1045.6949999999999</v>
      </c>
    </row>
    <row r="189" spans="1:15" ht="15.75" customHeight="1" x14ac:dyDescent="0.25">
      <c r="A189" s="2">
        <v>45744</v>
      </c>
      <c r="B189" s="3">
        <v>4023</v>
      </c>
      <c r="C189" s="4" t="s">
        <v>230</v>
      </c>
      <c r="D189" s="4" t="s">
        <v>22</v>
      </c>
      <c r="E189" s="4" t="s">
        <v>13</v>
      </c>
      <c r="F189" s="4" t="s">
        <v>17</v>
      </c>
      <c r="G189" s="7">
        <v>6</v>
      </c>
      <c r="H189" s="8">
        <v>1224.69</v>
      </c>
      <c r="I189" s="8">
        <f t="shared" si="14"/>
        <v>7348.14</v>
      </c>
      <c r="J189">
        <f t="shared" si="15"/>
        <v>2025</v>
      </c>
      <c r="K189">
        <f t="shared" si="16"/>
        <v>3</v>
      </c>
      <c r="L189">
        <f t="shared" si="17"/>
        <v>28</v>
      </c>
      <c r="M189">
        <f t="shared" si="18"/>
        <v>6</v>
      </c>
      <c r="N189" s="10">
        <f t="shared" si="19"/>
        <v>2939.2560000000003</v>
      </c>
      <c r="O189" s="10">
        <f t="shared" si="20"/>
        <v>734.81400000000008</v>
      </c>
    </row>
    <row r="190" spans="1:15" ht="15.75" customHeight="1" x14ac:dyDescent="0.25">
      <c r="A190" s="2">
        <v>45795</v>
      </c>
      <c r="B190" s="3">
        <v>6139</v>
      </c>
      <c r="C190" s="4" t="s">
        <v>231</v>
      </c>
      <c r="D190" s="4" t="s">
        <v>63</v>
      </c>
      <c r="E190" s="4" t="s">
        <v>19</v>
      </c>
      <c r="F190" s="4" t="s">
        <v>47</v>
      </c>
      <c r="G190" s="7">
        <v>8</v>
      </c>
      <c r="H190" s="8">
        <v>363.87</v>
      </c>
      <c r="I190" s="8">
        <f t="shared" si="14"/>
        <v>2910.96</v>
      </c>
      <c r="J190">
        <f t="shared" si="15"/>
        <v>2025</v>
      </c>
      <c r="K190">
        <f t="shared" si="16"/>
        <v>5</v>
      </c>
      <c r="L190">
        <f t="shared" si="17"/>
        <v>18</v>
      </c>
      <c r="M190">
        <f t="shared" si="18"/>
        <v>1</v>
      </c>
      <c r="N190" s="10">
        <f t="shared" si="19"/>
        <v>1164.384</v>
      </c>
      <c r="O190" s="10">
        <f t="shared" si="20"/>
        <v>291.096</v>
      </c>
    </row>
    <row r="191" spans="1:15" ht="15.75" customHeight="1" x14ac:dyDescent="0.25">
      <c r="A191" s="2">
        <v>45793</v>
      </c>
      <c r="B191" s="3">
        <v>2699</v>
      </c>
      <c r="C191" s="4" t="s">
        <v>232</v>
      </c>
      <c r="D191" s="4" t="s">
        <v>63</v>
      </c>
      <c r="E191" s="4" t="s">
        <v>40</v>
      </c>
      <c r="F191" s="4" t="s">
        <v>85</v>
      </c>
      <c r="G191" s="7">
        <v>4</v>
      </c>
      <c r="H191" s="8">
        <v>2082.79</v>
      </c>
      <c r="I191" s="8">
        <f t="shared" si="14"/>
        <v>8331.16</v>
      </c>
      <c r="J191">
        <f t="shared" si="15"/>
        <v>2025</v>
      </c>
      <c r="K191">
        <f t="shared" si="16"/>
        <v>5</v>
      </c>
      <c r="L191">
        <f t="shared" si="17"/>
        <v>16</v>
      </c>
      <c r="M191">
        <f t="shared" si="18"/>
        <v>6</v>
      </c>
      <c r="N191" s="10">
        <f t="shared" si="19"/>
        <v>3332.4639999999999</v>
      </c>
      <c r="O191" s="10">
        <f t="shared" si="20"/>
        <v>833.11599999999999</v>
      </c>
    </row>
    <row r="192" spans="1:15" ht="15.75" customHeight="1" x14ac:dyDescent="0.25">
      <c r="A192" s="2">
        <v>45710</v>
      </c>
      <c r="B192" s="3">
        <v>4323</v>
      </c>
      <c r="C192" s="4" t="s">
        <v>233</v>
      </c>
      <c r="D192" s="4" t="s">
        <v>37</v>
      </c>
      <c r="E192" s="4" t="s">
        <v>13</v>
      </c>
      <c r="F192" s="4" t="s">
        <v>56</v>
      </c>
      <c r="G192" s="7">
        <v>6</v>
      </c>
      <c r="H192" s="8">
        <v>2889.42</v>
      </c>
      <c r="I192" s="8">
        <f t="shared" si="14"/>
        <v>17336.52</v>
      </c>
      <c r="J192">
        <f t="shared" si="15"/>
        <v>2025</v>
      </c>
      <c r="K192">
        <f t="shared" si="16"/>
        <v>2</v>
      </c>
      <c r="L192">
        <f t="shared" si="17"/>
        <v>22</v>
      </c>
      <c r="M192">
        <f t="shared" si="18"/>
        <v>7</v>
      </c>
      <c r="N192" s="10">
        <f t="shared" si="19"/>
        <v>6934.6080000000002</v>
      </c>
      <c r="O192" s="10">
        <f t="shared" si="20"/>
        <v>1733.652</v>
      </c>
    </row>
    <row r="193" spans="1:15" ht="15.75" customHeight="1" x14ac:dyDescent="0.25">
      <c r="A193" s="2">
        <v>45712</v>
      </c>
      <c r="B193" s="3">
        <v>6078</v>
      </c>
      <c r="C193" s="4" t="s">
        <v>234</v>
      </c>
      <c r="D193" s="4" t="s">
        <v>22</v>
      </c>
      <c r="E193" s="4" t="s">
        <v>13</v>
      </c>
      <c r="F193" s="4" t="s">
        <v>64</v>
      </c>
      <c r="G193" s="7">
        <v>8</v>
      </c>
      <c r="H193" s="8">
        <v>1491.66</v>
      </c>
      <c r="I193" s="8">
        <f t="shared" si="14"/>
        <v>11933.28</v>
      </c>
      <c r="J193">
        <f t="shared" si="15"/>
        <v>2025</v>
      </c>
      <c r="K193">
        <f t="shared" si="16"/>
        <v>2</v>
      </c>
      <c r="L193">
        <f t="shared" si="17"/>
        <v>24</v>
      </c>
      <c r="M193">
        <f t="shared" si="18"/>
        <v>2</v>
      </c>
      <c r="N193" s="10">
        <f t="shared" si="19"/>
        <v>4773.3120000000008</v>
      </c>
      <c r="O193" s="10">
        <f t="shared" si="20"/>
        <v>1193.3280000000002</v>
      </c>
    </row>
    <row r="194" spans="1:15" ht="15.75" customHeight="1" x14ac:dyDescent="0.25">
      <c r="A194" s="2">
        <v>45653</v>
      </c>
      <c r="B194" s="3">
        <v>6901</v>
      </c>
      <c r="C194" s="4" t="s">
        <v>235</v>
      </c>
      <c r="D194" s="4" t="s">
        <v>16</v>
      </c>
      <c r="E194" s="4" t="s">
        <v>9</v>
      </c>
      <c r="F194" s="4" t="s">
        <v>43</v>
      </c>
      <c r="G194" s="7">
        <v>9</v>
      </c>
      <c r="H194" s="8">
        <v>1839.57</v>
      </c>
      <c r="I194" s="8">
        <f t="shared" si="14"/>
        <v>16556.13</v>
      </c>
      <c r="J194">
        <f t="shared" si="15"/>
        <v>2024</v>
      </c>
      <c r="K194">
        <f t="shared" si="16"/>
        <v>12</v>
      </c>
      <c r="L194">
        <f t="shared" si="17"/>
        <v>27</v>
      </c>
      <c r="M194">
        <f t="shared" si="18"/>
        <v>6</v>
      </c>
      <c r="N194" s="10">
        <f t="shared" si="19"/>
        <v>6622.4520000000011</v>
      </c>
      <c r="O194" s="10">
        <f t="shared" si="20"/>
        <v>1655.6130000000003</v>
      </c>
    </row>
    <row r="195" spans="1:15" ht="15.75" customHeight="1" x14ac:dyDescent="0.25">
      <c r="A195" s="2">
        <v>45676</v>
      </c>
      <c r="B195" s="3">
        <v>5178</v>
      </c>
      <c r="C195" s="4" t="s">
        <v>236</v>
      </c>
      <c r="D195" s="4" t="s">
        <v>8</v>
      </c>
      <c r="E195" s="4" t="s">
        <v>52</v>
      </c>
      <c r="F195" s="4" t="s">
        <v>97</v>
      </c>
      <c r="G195" s="7">
        <v>6</v>
      </c>
      <c r="H195" s="8">
        <v>753.5</v>
      </c>
      <c r="I195" s="8">
        <f t="shared" ref="I195:I201" si="21">G195*H195</f>
        <v>4521</v>
      </c>
      <c r="J195">
        <f t="shared" ref="J195:J201" si="22">YEAR(A195)</f>
        <v>2025</v>
      </c>
      <c r="K195">
        <f t="shared" ref="K195:K201" si="23">MONTH(A195)</f>
        <v>1</v>
      </c>
      <c r="L195">
        <f t="shared" ref="L195:L201" si="24">DAY(A195)</f>
        <v>19</v>
      </c>
      <c r="M195">
        <f t="shared" ref="M195:M201" si="25">WEEKDAY(A195)</f>
        <v>1</v>
      </c>
      <c r="N195" s="10">
        <f t="shared" ref="N195:N201" si="26">I195*0.4</f>
        <v>1808.4</v>
      </c>
      <c r="O195" s="10">
        <f t="shared" ref="O195:O201" si="27">I195*0.1</f>
        <v>452.1</v>
      </c>
    </row>
    <row r="196" spans="1:15" ht="15.75" customHeight="1" x14ac:dyDescent="0.25">
      <c r="A196" s="2">
        <v>45675</v>
      </c>
      <c r="B196" s="3">
        <v>8312</v>
      </c>
      <c r="C196" s="4" t="s">
        <v>237</v>
      </c>
      <c r="D196" s="4" t="s">
        <v>8</v>
      </c>
      <c r="E196" s="4" t="s">
        <v>19</v>
      </c>
      <c r="F196" s="4" t="s">
        <v>75</v>
      </c>
      <c r="G196" s="7">
        <v>1</v>
      </c>
      <c r="H196" s="8">
        <v>1574.61</v>
      </c>
      <c r="I196" s="8">
        <f t="shared" si="21"/>
        <v>1574.61</v>
      </c>
      <c r="J196">
        <f t="shared" si="22"/>
        <v>2025</v>
      </c>
      <c r="K196">
        <f t="shared" si="23"/>
        <v>1</v>
      </c>
      <c r="L196">
        <f t="shared" si="24"/>
        <v>18</v>
      </c>
      <c r="M196">
        <f t="shared" si="25"/>
        <v>7</v>
      </c>
      <c r="N196" s="10">
        <f t="shared" si="26"/>
        <v>629.84400000000005</v>
      </c>
      <c r="O196" s="10">
        <f t="shared" si="27"/>
        <v>157.46100000000001</v>
      </c>
    </row>
    <row r="197" spans="1:15" ht="15.75" customHeight="1" x14ac:dyDescent="0.25">
      <c r="A197" s="2">
        <v>45690</v>
      </c>
      <c r="B197" s="3">
        <v>3091</v>
      </c>
      <c r="C197" s="4" t="s">
        <v>238</v>
      </c>
      <c r="D197" s="4" t="s">
        <v>16</v>
      </c>
      <c r="E197" s="4" t="s">
        <v>19</v>
      </c>
      <c r="F197" s="4" t="s">
        <v>32</v>
      </c>
      <c r="G197" s="7">
        <v>1</v>
      </c>
      <c r="H197" s="8">
        <v>1718.77</v>
      </c>
      <c r="I197" s="8">
        <f t="shared" si="21"/>
        <v>1718.77</v>
      </c>
      <c r="J197">
        <f t="shared" si="22"/>
        <v>2025</v>
      </c>
      <c r="K197">
        <f t="shared" si="23"/>
        <v>2</v>
      </c>
      <c r="L197">
        <f t="shared" si="24"/>
        <v>2</v>
      </c>
      <c r="M197">
        <f t="shared" si="25"/>
        <v>1</v>
      </c>
      <c r="N197" s="10">
        <f t="shared" si="26"/>
        <v>687.50800000000004</v>
      </c>
      <c r="O197" s="10">
        <f t="shared" si="27"/>
        <v>171.87700000000001</v>
      </c>
    </row>
    <row r="198" spans="1:15" ht="15.75" customHeight="1" x14ac:dyDescent="0.25">
      <c r="A198" s="2">
        <v>45654</v>
      </c>
      <c r="B198" s="3">
        <v>3476</v>
      </c>
      <c r="C198" s="4" t="s">
        <v>239</v>
      </c>
      <c r="D198" s="4" t="s">
        <v>37</v>
      </c>
      <c r="E198" s="4" t="s">
        <v>40</v>
      </c>
      <c r="F198" s="4" t="s">
        <v>85</v>
      </c>
      <c r="G198" s="7">
        <v>1</v>
      </c>
      <c r="H198" s="8">
        <v>2895.27</v>
      </c>
      <c r="I198" s="8">
        <f t="shared" si="21"/>
        <v>2895.27</v>
      </c>
      <c r="J198">
        <f t="shared" si="22"/>
        <v>2024</v>
      </c>
      <c r="K198">
        <f t="shared" si="23"/>
        <v>12</v>
      </c>
      <c r="L198">
        <f t="shared" si="24"/>
        <v>28</v>
      </c>
      <c r="M198">
        <f t="shared" si="25"/>
        <v>7</v>
      </c>
      <c r="N198" s="10">
        <f t="shared" si="26"/>
        <v>1158.1079999999999</v>
      </c>
      <c r="O198" s="10">
        <f t="shared" si="27"/>
        <v>289.52699999999999</v>
      </c>
    </row>
    <row r="199" spans="1:15" ht="15.75" customHeight="1" x14ac:dyDescent="0.25">
      <c r="A199" s="2">
        <v>45682</v>
      </c>
      <c r="B199" s="3">
        <v>8707</v>
      </c>
      <c r="C199" s="4" t="s">
        <v>240</v>
      </c>
      <c r="D199" s="4" t="s">
        <v>37</v>
      </c>
      <c r="E199" s="4" t="s">
        <v>40</v>
      </c>
      <c r="F199" s="4" t="s">
        <v>41</v>
      </c>
      <c r="G199" s="7">
        <v>10</v>
      </c>
      <c r="H199" s="8">
        <v>116.63</v>
      </c>
      <c r="I199" s="8">
        <f t="shared" si="21"/>
        <v>1166.3</v>
      </c>
      <c r="J199">
        <f t="shared" si="22"/>
        <v>2025</v>
      </c>
      <c r="K199">
        <f t="shared" si="23"/>
        <v>1</v>
      </c>
      <c r="L199">
        <f t="shared" si="24"/>
        <v>25</v>
      </c>
      <c r="M199">
        <f t="shared" si="25"/>
        <v>7</v>
      </c>
      <c r="N199" s="10">
        <f t="shared" si="26"/>
        <v>466.52</v>
      </c>
      <c r="O199" s="10">
        <f t="shared" si="27"/>
        <v>116.63</v>
      </c>
    </row>
    <row r="200" spans="1:15" ht="15.75" customHeight="1" x14ac:dyDescent="0.25">
      <c r="A200" s="2">
        <v>45709</v>
      </c>
      <c r="B200" s="3">
        <v>9562</v>
      </c>
      <c r="C200" s="4" t="s">
        <v>241</v>
      </c>
      <c r="D200" s="4" t="s">
        <v>27</v>
      </c>
      <c r="E200" s="4" t="s">
        <v>19</v>
      </c>
      <c r="F200" s="4" t="s">
        <v>32</v>
      </c>
      <c r="G200" s="7">
        <v>4</v>
      </c>
      <c r="H200" s="8">
        <v>981.58</v>
      </c>
      <c r="I200" s="8">
        <f t="shared" si="21"/>
        <v>3926.32</v>
      </c>
      <c r="J200">
        <f t="shared" si="22"/>
        <v>2025</v>
      </c>
      <c r="K200">
        <f t="shared" si="23"/>
        <v>2</v>
      </c>
      <c r="L200">
        <f t="shared" si="24"/>
        <v>21</v>
      </c>
      <c r="M200">
        <f t="shared" si="25"/>
        <v>6</v>
      </c>
      <c r="N200" s="10">
        <f t="shared" si="26"/>
        <v>1570.5280000000002</v>
      </c>
      <c r="O200" s="10">
        <f t="shared" si="27"/>
        <v>392.63200000000006</v>
      </c>
    </row>
    <row r="201" spans="1:15" ht="15.75" customHeight="1" x14ac:dyDescent="0.25">
      <c r="A201" s="2">
        <v>45696</v>
      </c>
      <c r="B201" s="3">
        <v>8349</v>
      </c>
      <c r="C201" s="4" t="s">
        <v>242</v>
      </c>
      <c r="D201" s="4" t="s">
        <v>27</v>
      </c>
      <c r="E201" s="4" t="s">
        <v>9</v>
      </c>
      <c r="F201" s="4" t="s">
        <v>102</v>
      </c>
      <c r="G201" s="7">
        <v>4</v>
      </c>
      <c r="H201" s="8">
        <v>2260.4499999999998</v>
      </c>
      <c r="I201" s="8">
        <f t="shared" si="21"/>
        <v>9041.7999999999993</v>
      </c>
      <c r="J201">
        <f t="shared" si="22"/>
        <v>2025</v>
      </c>
      <c r="K201">
        <f t="shared" si="23"/>
        <v>2</v>
      </c>
      <c r="L201">
        <f t="shared" si="24"/>
        <v>8</v>
      </c>
      <c r="M201">
        <f t="shared" si="25"/>
        <v>7</v>
      </c>
      <c r="N201" s="10">
        <f t="shared" si="26"/>
        <v>3616.72</v>
      </c>
      <c r="O201" s="10">
        <f t="shared" si="27"/>
        <v>904.18</v>
      </c>
    </row>
    <row r="202" spans="1:15" ht="15.75" customHeight="1" x14ac:dyDescent="0.25"/>
    <row r="203" spans="1:15" ht="15.75" customHeight="1" x14ac:dyDescent="0.25"/>
    <row r="204" spans="1:15" ht="15.75" customHeight="1" x14ac:dyDescent="0.25"/>
    <row r="205" spans="1:15" ht="15.75" customHeight="1" x14ac:dyDescent="0.25"/>
    <row r="206" spans="1:15" ht="15.75" customHeight="1" x14ac:dyDescent="0.25"/>
    <row r="207" spans="1:15" ht="15.75" customHeight="1" x14ac:dyDescent="0.25"/>
    <row r="208" spans="1:1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Reis</cp:lastModifiedBy>
  <dcterms:created xsi:type="dcterms:W3CDTF">2025-06-12T01:30:29Z</dcterms:created>
  <dcterms:modified xsi:type="dcterms:W3CDTF">2026-04-06T19:20:13Z</dcterms:modified>
</cp:coreProperties>
</file>